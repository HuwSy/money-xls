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0240" windowHeight="4250"/>
  </bookViews>
  <sheets>
    <sheet name="Spent" sheetId="1" r:id="rId1"/>
    <sheet name="Plan" sheetId="2" r:id="rId2"/>
    <sheet name="Over" sheetId="3" r:id="rId3"/>
    <sheet name="Future" sheetId="4" r:id="rId4"/>
  </sheets>
  <definedNames>
    <definedName name="_xlnm.Sheet_Title" localSheetId="0">"Spent"</definedName>
    <definedName name="_xlnm.Print_Area" localSheetId="0">#REF!</definedName>
    <definedName name="_xlnm.Sheet_Title" localSheetId="1">"Plan"</definedName>
    <definedName name="_xlnm.Print_Area" localSheetId="1">#REF!</definedName>
    <definedName name="_xlnm.Sheet_Title" localSheetId="2">"Over"</definedName>
    <definedName name="_xlnm.Print_Area" localSheetId="2">#REF!</definedName>
    <definedName name="_xlnm.Sheet_Title" localSheetId="3">"Future"</definedName>
    <definedName name="_xlnm.Print_Area" localSheetId="3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<sst xmlns="http://schemas.openxmlformats.org/spreadsheetml/2006/main" uniqueCount="7" count="7">
  <si>
    <t>Y</t>
  </si>
  <si>
    <t>M</t>
  </si>
  <si>
    <t>D</t>
  </si>
  <si>
    <t/>
  </si>
  <si>
    <t>2020-04-01</t>
  </si>
  <si>
    <t>Spent</t>
  </si>
  <si>
    <t>Over</t>
  </si>
</sst>
</file>

<file path=xl/styles.xml><?xml version="1.0" encoding="utf-8"?>
<styleSheet xmlns="http://schemas.openxmlformats.org/spreadsheetml/2006/main">
  <numFmts count="2">
    <numFmt formatCode="00" numFmtId="100"/>
    <numFmt formatCode="&quot;&quot;£&quot;&quot;#,##0.00;[Red]-£#,##0.00" numFmtId="101"/>
  </numFmts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2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4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1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6" Type="http://schemas.openxmlformats.org/officeDocument/2006/relationships/styles" Target="styles.xml"/>
  <Relationship Id="rId5" Type="http://schemas.openxmlformats.org/officeDocument/2006/relationships/sharedStrings" Target="sharedStrings.xml"/>
  <Relationship Id="rId4" Type="http://schemas.openxmlformats.org/officeDocument/2006/relationships/worksheet" Target="worksheets/sheet4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Z6"/>
  <sheetViews>
    <sheetView workbookViewId="0" tabSelected="1">
      <selection activeCell="A1" sqref="A1"/>
    </sheetView>
  </sheetViews>
  <sheetFormatPr defaultColWidth="67.5" defaultRowHeight="15"/>
  <cols>
    <col min="1" max="1" style="1" width="6.428571428571429" customWidth="1"/>
    <col min="2" max="3" style="1" width="3.571428571428572" customWidth="1"/>
    <col min="4" max="4" style="1" width="14.285714285714288" customWidth="1"/>
    <col min="5" max="5" style="1" width="25" customWidth="1"/>
    <col min="6" max="6" style="1" width="14.285714285714288" customWidth="1"/>
    <col min="7" max="7" style="1" width="3.571428571428572" customWidth="1"/>
    <col min="8" max="10" style="1" width="12.142857142857142" customWidth="1"/>
    <col min="11" max="11" style="1" width="3.571428571428572" customWidth="1"/>
    <col min="12" max="13" style="1" width="12.142857142857142" customWidth="1"/>
    <col min="14" max="14" style="1" width="3.571428571428572" customWidth="1"/>
    <col min="15" max="17" style="1" width="12.142857142857142" customWidth="1"/>
    <col min="18" max="18" style="1" width="3.571428571428572" customWidth="1"/>
    <col min="19" max="21" style="1" width="12.142857142857142" customWidth="1"/>
    <col min="22" max="22" style="1" width="3.571428571428572" customWidth="1"/>
    <col min="23" max="24" style="1" width="12.142857142857142" customWidth="1"/>
    <col min="25" max="26" style="1" width="14.285714285714288" customWidth="1"/>
    <col min="27" max="16384" style="1" width="12.856370192307693"/>
  </cols>
  <sheetData>
    <row r="1" spans="1:26" customHeight="1" ht="20">
      <c r="A1">
        <f>YEAR(TODAY())</f>
        <v>2024</v>
      </c>
      <c r="B1" s="2">
        <f>MONTH(TODAY())</f>
        <v>11</v>
      </c>
      <c r="C1" s="2">
        <f>DAY(TODAY())</f>
        <v>1</v>
      </c>
      <c r="D1" s="3">
        <v>0</v>
      </c>
      <c r="E1" t="inlineStr">
        <is>
          <t>Combined Savings &amp; Loans</t>
        </is>
      </c>
      <c r="F1" t="inlineStr">
        <is>
          <t>Years to Calc</t>
        </is>
      </c>
      <c r="G1">
        <v>10</v>
      </c>
      <c r="H1" t="inlineStr">
        <is>
          <t>Anniversary</t>
        </is>
      </c>
      <c r="I1" t="inlineStr">
        <is>
          <t>Birthday</t>
        </is>
      </c>
      <c r="J1" t="inlineStr">
        <is>
          <t>Christmas</t>
        </is>
      </c>
      <c r="L1" t="inlineStr">
        <is>
          <t>Fathers</t>
        </is>
      </c>
      <c r="M1" t="inlineStr">
        <is>
          <t>Mothers</t>
        </is>
      </c>
      <c r="O1" t="inlineStr">
        <is>
          <t>Clothes</t>
        </is>
      </c>
      <c r="P1" t="inlineStr">
        <is>
          <t>Food</t>
        </is>
      </c>
      <c r="Q1" t="inlineStr">
        <is>
          <t>Medical</t>
        </is>
      </c>
      <c r="S1" t="inlineStr">
        <is>
          <t>Fuel</t>
        </is>
      </c>
      <c r="T1" t="inlineStr">
        <is>
          <t>Service</t>
        </is>
      </c>
      <c r="U1" t="inlineStr">
        <is>
          <t>Other</t>
        </is>
      </c>
      <c r="W1" t="inlineStr">
        <is>
          <t>Something</t>
        </is>
      </c>
      <c r="X1" t="inlineStr">
        <is>
          <t>Else</t>
        </is>
      </c>
      <c r="Y1" t="inlineStr">
        <is>
          <t>In</t>
        </is>
      </c>
      <c r="Z1" t="inlineStr">
        <is>
          <t>Here</t>
        </is>
      </c>
    </row>
    <row r="2" spans="1:26" customHeight="1" ht="20">
      <c r="A2" t="s">
        <v>0</v>
      </c>
      <c r="B2" s="2" t="s">
        <v>1</v>
      </c>
      <c r="C2" s="2" t="s">
        <v>2</v>
      </c>
      <c r="D2" s="3">
        <f>SUM(D3:D6)-D1</f>
        <v>0</v>
      </c>
      <c r="E2" t="inlineStr">
        <is>
          <t>Combined Current Accounts</t>
        </is>
      </c>
      <c r="H2" s="3">
        <f>SUM(H3:H5)/($A1-$A5+1)</f>
        <v>0</v>
      </c>
      <c r="I2" s="3">
        <f>SUM(I3:I5)/($A1-$A5+1)</f>
        <v>0</v>
      </c>
      <c r="J2" s="3">
        <f>SUM(J3:J5)/($A1-$A5)</f>
        <v>0</v>
      </c>
      <c r="L2" s="3">
        <f>SUM(L3:L5)/($A1-$A5+IF($B1&gt;=6,1,0))</f>
        <v>0</v>
      </c>
      <c r="M2" s="3">
        <f>SUM(M3:M5)/($A1-$A5+IF($B1&gt;3,1,0)-1)</f>
        <v>0</v>
      </c>
      <c r="O2" s="3">
        <f>30.416*SUM(O3:O5)/(365*($A1-$A5)+30.416*($B1-$B5)+$C1-$C5)</f>
        <v>0</v>
      </c>
      <c r="P2" s="3">
        <f>SUM(P3:P5)/(365*($A1-$A5)+30.416*($B1-$B5)+$C1-$C5)</f>
        <v>-2.0295102260363495e-05</v>
      </c>
      <c r="Q2" s="3">
        <f>30.416*SUM(Q3:Q5)/(365*($A1-$A5)+30.416*($B1-$B5)+$C1-$C5)</f>
        <v>0</v>
      </c>
      <c r="S2" s="3">
        <f>7*SUM(S3:S5)/(365*($A1-$A5)+30.416*($B1-$B5)+$C1-$C5)</f>
        <v>0</v>
      </c>
      <c r="T2" s="3">
        <f>30.416*SUM(T3:T5)/(365*($A1-$A5)+30.416*($B1-$B5)+$C1-$C5)</f>
        <v>0</v>
      </c>
      <c r="U2" s="3">
        <f>30.416*SUM(U3:U5)/(365*($A1-$A5)+30.416*($B1-$B5)+$C1-$C5)</f>
        <v>0</v>
      </c>
      <c r="W2" s="3">
        <f>30.416*SUM(W3:W5)/(365*($A1-$A5)+30.416*($B1-$B5)+$C1-$C5)</f>
        <v>0</v>
      </c>
      <c r="X2" s="3">
        <f>30.416*SUM(X3:X5)/(365*($A1-$A5)+30.416*($B1-$B5)+$C1-$C5)</f>
        <v>0</v>
      </c>
      <c r="Y2" s="3">
        <f>30.416*SUM(Y3:Y5)/(365*($A1-$A5)+30.416*($B1-$B5)+$C1-$C5)</f>
        <v>-0.00041153055356747746</v>
      </c>
      <c r="Z2" s="3">
        <f>30.416*SUM(Z3:Z5)/(365*($A1-$A5)+30.416*($B1-$B5)+$C1-$C5)</f>
        <v>0</v>
      </c>
    </row>
    <row r="3" spans="1:26" customHeight="1" ht="20">
      <c r="C3" s="2">
        <v>0</v>
      </c>
      <c r="D3" s="3">
        <f>E3-SUM(D4)</f>
        <v>25</v>
      </c>
      <c r="E3" s="3">
        <f>-SUM(D5)</f>
        <v>10</v>
      </c>
      <c r="G3" s="3" t="s">
        <f>""</f>
        <v>3</v>
      </c>
      <c r="H3" s="3" t="s">
        <f>IF(ISERROR(FIND(LOWER(H$1),LOWER($E3))),"",$D3)</f>
        <v>3</v>
      </c>
      <c r="I3" s="3" t="s">
        <f>IF(ISERROR(FIND(LOWER(I$1),LOWER($E3))),"",$D3)</f>
        <v>3</v>
      </c>
      <c r="J3" s="3" t="s">
        <f>IF(ISERROR(FIND(LOWER(J$1),LOWER($E3))),"",$D3)</f>
        <v>3</v>
      </c>
      <c r="L3" s="3" t="s">
        <f>IF(ISERROR(FIND(LOWER(L$1),LOWER($E3))),"",$D3)</f>
        <v>3</v>
      </c>
      <c r="M3" s="3" t="s">
        <f>IF(ISERROR(FIND(LOWER(M$1),LOWER($E3))),"",$D3)</f>
        <v>3</v>
      </c>
      <c r="N3" s="3" t="s">
        <f>""</f>
        <v>3</v>
      </c>
      <c r="O3" s="3" t="s">
        <f>IF(ISERROR(FIND(LOWER(O$1),LOWER($E3))),"",$D3)</f>
        <v>3</v>
      </c>
      <c r="P3" s="3" t="s">
        <f>IF(ISERROR(FIND(LOWER(P$1),LOWER($E3))),"",$D3)</f>
        <v>3</v>
      </c>
      <c r="Q3" s="3" t="s">
        <f>IF(ISERROR(FIND(LOWER(Q$1),LOWER($E3))),"",$D3)</f>
        <v>3</v>
      </c>
      <c r="S3" s="3" t="s">
        <f>IF(ISERROR(FIND(LOWER(S$1),LOWER($E3))),"",$D3)</f>
        <v>3</v>
      </c>
      <c r="T3" s="3" t="s">
        <f>IF(ISERROR(FIND(LOWER(T$1),LOWER($E3))),"",$D3)</f>
        <v>3</v>
      </c>
      <c r="U3" s="3" t="s">
        <f>IF(ISERROR(FIND(LOWER(U$1),LOWER($E3))),"",$D3)</f>
        <v>3</v>
      </c>
      <c r="W3" s="3" t="s">
        <f>IF(ISERROR(FIND(LOWER(W$1),LOWER($E3))),"",$D3)</f>
        <v>3</v>
      </c>
      <c r="X3" s="3" t="s">
        <f>IF(ISERROR(FIND(LOWER(X$1),LOWER($E3))),"",$D3)</f>
        <v>3</v>
      </c>
      <c r="Y3" s="3" t="s">
        <f>IF(ISERROR(FIND(LOWER(Y$1),LOWER($E3))),"",$D3)</f>
        <v>3</v>
      </c>
      <c r="Z3" s="3" t="s">
        <f>IF(ISERROR(FIND(LOWER(Z$1),LOWER($E3))),"",$D3)</f>
        <v>3</v>
      </c>
    </row>
    <row r="4" spans="1:26" customHeight="1" ht="20">
      <c r="C4" s="2">
        <v>1</v>
      </c>
      <c r="D4" s="3">
        <v>-15</v>
      </c>
      <c r="E4" t="inlineStr">
        <is>
          <t>Example food spent on this months credit card bill</t>
        </is>
      </c>
      <c r="G4" s="3" t="s">
        <f>""</f>
        <v>3</v>
      </c>
      <c r="H4" s="3" t="s">
        <f>IF(ISERROR(FIND(LOWER(H$1),LOWER($E4))),"",$D4)</f>
        <v>3</v>
      </c>
      <c r="I4" s="3" t="s">
        <f>IF(ISERROR(FIND(LOWER(I$1),LOWER($E4))),"",$D4)</f>
        <v>3</v>
      </c>
      <c r="J4" s="3" t="s">
        <f>IF(ISERROR(FIND(LOWER(J$1),LOWER($E4))),"",$D4)</f>
        <v>3</v>
      </c>
      <c r="L4" s="3" t="s">
        <f>IF(ISERROR(FIND(LOWER(L$1),LOWER($E4))),"",$D4)</f>
        <v>3</v>
      </c>
      <c r="M4" s="3" t="s">
        <f>IF(ISERROR(FIND(LOWER(M$1),LOWER($E4))),"",$D4)</f>
        <v>3</v>
      </c>
      <c r="N4" s="3" t="s">
        <f>""</f>
        <v>3</v>
      </c>
      <c r="O4" s="3" t="s">
        <f>IF(ISERROR(FIND(LOWER(O$1),LOWER($E4))),"",$D4)</f>
        <v>3</v>
      </c>
      <c r="P4" s="3">
        <f>IF(ISERROR(FIND(LOWER(P$1),LOWER($E4))),"",$D4)</f>
        <v>-15</v>
      </c>
      <c r="Q4" s="3" t="s">
        <f>IF(ISERROR(FIND(LOWER(Q$1),LOWER($E4))),"",$D4)</f>
        <v>3</v>
      </c>
      <c r="S4" s="3" t="s">
        <f>IF(ISERROR(FIND(LOWER(S$1),LOWER($E4))),"",$D4)</f>
        <v>3</v>
      </c>
      <c r="T4" s="3" t="s">
        <f>IF(ISERROR(FIND(LOWER(T$1),LOWER($E4))),"",$D4)</f>
        <v>3</v>
      </c>
      <c r="U4" s="3" t="s">
        <f>IF(ISERROR(FIND(LOWER(U$1),LOWER($E4))),"",$D4)</f>
        <v>3</v>
      </c>
      <c r="W4" s="3" t="s">
        <f>IF(ISERROR(FIND(LOWER(W$1),LOWER($E4))),"",$D4)</f>
        <v>3</v>
      </c>
      <c r="X4" s="3" t="s">
        <f>IF(ISERROR(FIND(LOWER(X$1),LOWER($E4))),"",$D4)</f>
        <v>3</v>
      </c>
      <c r="Y4" s="3" t="s">
        <f>IF(ISERROR(FIND(LOWER(Y$1),LOWER($E4))),"",$D4)</f>
        <v>3</v>
      </c>
      <c r="Z4" s="3" t="s">
        <f>IF(ISERROR(FIND(LOWER(Z$1),LOWER($E4))),"",$D4)</f>
        <v>3</v>
      </c>
    </row>
    <row r="5" spans="1:26" customHeight="1" ht="20">
      <c r="C5" s="2">
        <v>1</v>
      </c>
      <c r="D5" s="3">
        <v>-10</v>
      </c>
      <c r="E5" t="inlineStr">
        <is>
          <t>Example spent on previous credit card still outstanding</t>
        </is>
      </c>
      <c r="G5" s="3" t="s">
        <f>""</f>
        <v>3</v>
      </c>
      <c r="H5" s="3" t="s">
        <f>IF(ISERROR(FIND(LOWER(H$1),LOWER($E5))),"",$D5)</f>
        <v>3</v>
      </c>
      <c r="I5" s="3" t="s">
        <f>IF(ISERROR(FIND(LOWER(I$1),LOWER($E5))),"",$D5)</f>
        <v>3</v>
      </c>
      <c r="J5" s="3" t="s">
        <f>IF(ISERROR(FIND(LOWER(J$1),LOWER($E5))),"",$D5)</f>
        <v>3</v>
      </c>
      <c r="L5" s="3" t="s">
        <f>IF(ISERROR(FIND(LOWER(L$1),LOWER($E5))),"",$D5)</f>
        <v>3</v>
      </c>
      <c r="M5" s="3" t="s">
        <f>IF(ISERROR(FIND(LOWER(M$1),LOWER($E5))),"",$D5)</f>
        <v>3</v>
      </c>
      <c r="N5" s="3" t="s">
        <f>""</f>
        <v>3</v>
      </c>
      <c r="O5" s="3" t="s">
        <f>IF(ISERROR(FIND(LOWER(O$1),LOWER($E5))),"",$D5)</f>
        <v>3</v>
      </c>
      <c r="P5" s="3" t="s">
        <f>IF(ISERROR(FIND(LOWER(P$1),LOWER($E5))),"",$D5)</f>
        <v>3</v>
      </c>
      <c r="Q5" s="3" t="s">
        <f>IF(ISERROR(FIND(LOWER(Q$1),LOWER($E5))),"",$D5)</f>
        <v>3</v>
      </c>
      <c r="S5" s="3" t="s">
        <f>IF(ISERROR(FIND(LOWER(S$1),LOWER($E5))),"",$D5)</f>
        <v>3</v>
      </c>
      <c r="T5" s="3" t="s">
        <f>IF(ISERROR(FIND(LOWER(T$1),LOWER($E5))),"",$D5)</f>
        <v>3</v>
      </c>
      <c r="U5" s="3" t="s">
        <f>IF(ISERROR(FIND(LOWER(U$1),LOWER($E5))),"",$D5)</f>
        <v>3</v>
      </c>
      <c r="W5" s="3" t="s">
        <f>IF(ISERROR(FIND(LOWER(W$1),LOWER($E5))),"",$D5)</f>
        <v>3</v>
      </c>
      <c r="X5" s="3" t="s">
        <f>IF(ISERROR(FIND(LOWER(X$1),LOWER($E5))),"",$D5)</f>
        <v>3</v>
      </c>
      <c r="Y5" s="3">
        <f>IF(ISERROR(FIND(LOWER(Y$1),LOWER($E5))),"",$D5)</f>
        <v>-10</v>
      </c>
      <c r="Z5" s="3" t="s">
        <f>IF(ISERROR(FIND(LOWER(Z$1),LOWER($E5))),"",$D5)</f>
        <v>3</v>
      </c>
    </row>
    <row r="6" spans="1:26" customHeight="1" ht="20">
      <c r="D6">
        <v>0</v>
      </c>
      <c r="E6" t="inlineStr">
        <is>
          <t>INITIAL BALANCE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5" right="0.75" top="1" bottom="1" header="0.511811023622047" footer="0.511811023622047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O5"/>
  <sheetViews>
    <sheetView workbookViewId="0">
      <selection activeCell="A1" sqref="A1"/>
    </sheetView>
  </sheetViews>
  <sheetFormatPr defaultColWidth="67.5" defaultRowHeight="15"/>
  <cols>
    <col min="1" max="3" style="1" width="3.571428571428572" customWidth="1"/>
    <col min="4" max="4" style="1" width="6.428571428571429" customWidth="1"/>
    <col min="5" max="6" style="1" width="3.571428571428572" customWidth="1"/>
    <col min="7" max="7" style="1" width="6.428571428571429" customWidth="1"/>
    <col min="8" max="9" style="1" width="3.571428571428572" customWidth="1"/>
    <col min="10" max="10" style="1" width="14.285714285714288" customWidth="1"/>
    <col min="11" max="11" style="1" width="25" customWidth="1"/>
    <col min="12" max="12" style="1" width="3.571428571428572" customWidth="1"/>
    <col min="13" max="14" style="1" width="17.857142857142858" customWidth="1"/>
    <col min="15" max="15" style="1" width="14.285714285714288" customWidth="1"/>
    <col min="16" max="16384" style="1" width="12.856370192307693"/>
  </cols>
  <sheetData>
    <row r="1" spans="1:15" customHeight="1" ht="20">
      <c r="A1" t="inlineStr">
        <is>
          <t>Repeat Y</t>
        </is>
      </c>
      <c r="B1" t="s">
        <v>1</v>
      </c>
      <c r="C1" t="s">
        <v>2</v>
      </c>
      <c r="D1" t="inlineStr">
        <is>
          <t>End Y</t>
        </is>
      </c>
      <c r="E1" t="s">
        <v>1</v>
      </c>
      <c r="F1" t="s">
        <v>2</v>
      </c>
      <c r="G1" t="inlineStr">
        <is>
          <t>Start Y</t>
        </is>
      </c>
      <c r="H1" t="s">
        <v>1</v>
      </c>
      <c r="I1" t="s">
        <v>2</v>
      </c>
      <c r="J1" s="3" t="inlineStr">
        <is>
          <t>Value</t>
        </is>
      </c>
      <c r="K1" t="inlineStr">
        <is>
          <t>A heading for sorting</t>
        </is>
      </c>
      <c r="L1">
        <v>-9</v>
      </c>
      <c r="M1" s="3">
        <f>SUM(M2:M4)</f>
        <v>-229.64415743043</v>
      </c>
      <c r="N1" s="3">
        <f>SUM(N2:N4)</f>
        <v>-125.35844314471601</v>
      </c>
      <c r="O1" t="inlineStr">
        <is>
          <t>Start</t>
        </is>
      </c>
    </row>
    <row r="2" spans="1:15" customHeight="1" ht="20">
      <c r="C2" s="2">
        <v>7</v>
      </c>
      <c r="G2" s="2">
        <v>2020</v>
      </c>
      <c r="H2" s="2">
        <v>4</v>
      </c>
      <c r="I2" s="2">
        <v>1</v>
      </c>
      <c r="J2" s="3">
        <f>Spent!$P$2*C2</f>
        <v>-0.102764663049351</v>
      </c>
      <c r="K2" t="inlineStr">
        <is>
          <t>Food Calculated from Spent Avg *</t>
        </is>
      </c>
      <c r="L2">
        <v>1</v>
      </c>
      <c r="M2" s="3">
        <f>IF(($A2&gt;0),($J2/$A2),IF(($B2&gt;0),((12*$J2)/$B2),((365*$J2)/$C2)))</f>
        <v>-5.35844314471613</v>
      </c>
      <c r="N2" s="3">
        <f>IF(($A2&gt;0),($J2/$A2),IF(($B2&gt;0),((12*$J2)/$B2),((365*$J2)/$C2)))</f>
        <v>-5.35844314471613</v>
      </c>
      <c r="O2" t="s">
        <f>G2&amp;"-"&amp;IF(H2&lt;10,0,"")&amp;H2&amp;"-"&amp;IF(I2&lt;10,0,"")&amp;I2</f>
        <v>4</v>
      </c>
    </row>
    <row r="3" spans="1:15" customHeight="1" ht="20">
      <c r="B3" s="2">
        <v>1</v>
      </c>
      <c r="D3" s="2">
        <v>2021</v>
      </c>
      <c r="E3" s="2">
        <v>4</v>
      </c>
      <c r="F3" s="2">
        <v>1</v>
      </c>
      <c r="G3" s="2">
        <v>2020</v>
      </c>
      <c r="H3" s="2">
        <v>4</v>
      </c>
      <c r="I3" s="2">
        <v>1</v>
      </c>
      <c r="J3" s="3">
        <v>-10</v>
      </c>
      <c r="K3" t="inlineStr">
        <is>
          <t>Something Monthly April to March</t>
        </is>
      </c>
      <c r="L3">
        <v>2</v>
      </c>
      <c r="M3" s="3">
        <f>IF(($A3&gt;0),($J3/$A3),IF(($B3&gt;0),((12*$J3)/$B3),((365*$J3)/$C3)))</f>
        <v>-120</v>
      </c>
      <c r="N3" s="3">
        <f>IF(($A3&gt;0),($J3/$A3),IF(($B3&gt;0),((12*$J3)/$B3),((365*$J3)/$C3)))</f>
        <v>-120</v>
      </c>
      <c r="O3" t="s">
        <f>G3&amp;"-"&amp;IF(H3&lt;10,0,"")&amp;H3&amp;"-"&amp;IF(I3&lt;10,0,"")&amp;I3</f>
        <v>4</v>
      </c>
    </row>
    <row r="4" spans="1:15" customHeight="1" ht="20">
      <c r="C4" s="2">
        <v>7</v>
      </c>
      <c r="G4" s="2">
        <v>2020</v>
      </c>
      <c r="H4" s="2">
        <v>4</v>
      </c>
      <c r="I4" s="2">
        <v>1</v>
      </c>
      <c r="J4" s="3">
        <v>-2</v>
      </c>
      <c r="K4" t="inlineStr">
        <is>
          <t>Something Weekly Not Post Retirement</t>
        </is>
      </c>
      <c r="L4">
        <v>3</v>
      </c>
      <c r="M4" s="3">
        <f>IF(($A4&gt;0),($J4/$A4),IF(($B4&gt;0),((12*$J4)/$B4),((365*$J4)/$C4)))</f>
        <v>-104.28571428571399</v>
      </c>
      <c r="O4" t="s">
        <f>G4&amp;"-"&amp;IF(H4&lt;10,0,"")&amp;H4&amp;"-"&amp;IF(I4&lt;10,0,"")&amp;I4</f>
        <v>4</v>
      </c>
    </row>
    <row r="5" spans="1:15" customHeight="1" ht="20">
      <c r="G5" s="2">
        <v>2011</v>
      </c>
      <c r="H5" s="2">
        <v>4</v>
      </c>
      <c r="I5" s="2">
        <v>1</v>
      </c>
      <c r="J5">
        <v>0</v>
      </c>
      <c r="K5" t="inlineStr">
        <is>
          <t>Oldest allowable date in app</t>
        </is>
      </c>
      <c r="M5" t="inlineStr">
        <is>
          <t>Total</t>
        </is>
      </c>
      <c r="N5" t="inlineStr">
        <is>
          <t>Post Retirement</t>
        </is>
      </c>
      <c r="O5" t="str">
        <f>G5&amp;"-"&amp;IF(H5&lt;10,0,"")&amp;H5&amp;"-"&amp;IF(I5&lt;10,0,"")&amp;I5</f>
        <v>2011-04-01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5" right="0.75" top="1" bottom="1" header="0.511811023622047" footer="0.511811023622047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L1"/>
  <sheetViews>
    <sheetView workbookViewId="0">
      <selection activeCell="A1" sqref="A1"/>
    </sheetView>
  </sheetViews>
  <sheetFormatPr defaultColWidth="67.5" defaultRowHeight="15"/>
  <cols>
    <col min="1" max="1" style="1" width="6.428571428571429" customWidth="1"/>
    <col min="2" max="2" style="1" width="3.571428571428572" customWidth="1"/>
    <col min="3" max="6" style="1" width="14.285714285714288" customWidth="1"/>
    <col min="7" max="7" style="1" width="3.571428571428572" customWidth="1"/>
    <col min="8" max="10" style="1" width="14.285714285714288" customWidth="1"/>
    <col min="11" max="12" style="1" width="8.571428571428571" customWidth="1"/>
    <col min="13" max="16384" style="1" width="12.856370192307693"/>
  </cols>
  <sheetData>
    <row r="1" spans="1:12">
      <c r="A1" t="s">
        <v>0</v>
      </c>
      <c r="B1" t="s">
        <v>1</v>
      </c>
      <c r="C1" t="s">
        <v>5</v>
      </c>
      <c r="D1" t="inlineStr">
        <is>
          <t>One Off</t>
        </is>
      </c>
      <c r="E1" t="inlineStr">
        <is>
          <t>Expected</t>
        </is>
      </c>
      <c r="F1" t="inlineStr">
        <is>
          <t>Overspent</t>
        </is>
      </c>
      <c r="H1" t="s">
        <v>6</v>
      </c>
      <c r="I1" t="inlineStr">
        <is>
          <t>Annual</t>
        </is>
      </c>
      <c r="J1" t="inlineStr">
        <is>
          <t>Low</t>
        </is>
      </c>
      <c r="K1" t="inlineStr">
        <is>
          <t>Weeks</t>
        </is>
      </c>
      <c r="L1" t="inlineStr">
        <is>
          <t>H / K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G350:G361"/>
    <mergeCell ref="H350:H361"/>
    <mergeCell ref="I350:I361"/>
    <mergeCell ref="J350:J361"/>
    <mergeCell ref="K350:K361"/>
    <mergeCell ref="L350:L361"/>
    <mergeCell ref="G338:G349"/>
    <mergeCell ref="H338:H349"/>
    <mergeCell ref="I338:I349"/>
    <mergeCell ref="J338:J349"/>
    <mergeCell ref="K338:K349"/>
    <mergeCell ref="L338:L349"/>
    <mergeCell ref="G326:G337"/>
    <mergeCell ref="H326:H337"/>
    <mergeCell ref="I326:I337"/>
    <mergeCell ref="J326:J337"/>
    <mergeCell ref="K326:K337"/>
    <mergeCell ref="L326:L337"/>
    <mergeCell ref="G314:G325"/>
    <mergeCell ref="H314:H325"/>
    <mergeCell ref="I314:I325"/>
    <mergeCell ref="J314:J325"/>
    <mergeCell ref="K314:K325"/>
    <mergeCell ref="L314:L325"/>
    <mergeCell ref="G302:G313"/>
    <mergeCell ref="H302:H313"/>
    <mergeCell ref="I302:I313"/>
    <mergeCell ref="J302:J313"/>
    <mergeCell ref="K302:K313"/>
    <mergeCell ref="L302:L313"/>
    <mergeCell ref="G290:G301"/>
    <mergeCell ref="H290:H301"/>
    <mergeCell ref="I290:I301"/>
    <mergeCell ref="J290:J301"/>
    <mergeCell ref="K290:K301"/>
    <mergeCell ref="L290:L301"/>
    <mergeCell ref="G278:G289"/>
    <mergeCell ref="H278:H289"/>
    <mergeCell ref="I278:I289"/>
    <mergeCell ref="J278:J289"/>
    <mergeCell ref="K278:K289"/>
    <mergeCell ref="L278:L289"/>
    <mergeCell ref="G266:G277"/>
    <mergeCell ref="H266:H277"/>
    <mergeCell ref="I266:I277"/>
    <mergeCell ref="J266:J277"/>
    <mergeCell ref="K266:K277"/>
    <mergeCell ref="L266:L277"/>
    <mergeCell ref="G254:G265"/>
    <mergeCell ref="H254:H265"/>
    <mergeCell ref="I254:I265"/>
    <mergeCell ref="J254:J265"/>
    <mergeCell ref="K254:K265"/>
    <mergeCell ref="L254:L265"/>
    <mergeCell ref="G242:G253"/>
    <mergeCell ref="H242:H253"/>
    <mergeCell ref="I242:I253"/>
    <mergeCell ref="J242:J253"/>
    <mergeCell ref="K242:K253"/>
    <mergeCell ref="L242:L253"/>
    <mergeCell ref="G230:G241"/>
    <mergeCell ref="H230:H241"/>
    <mergeCell ref="I230:I241"/>
    <mergeCell ref="J230:J241"/>
    <mergeCell ref="K230:K241"/>
    <mergeCell ref="L230:L241"/>
    <mergeCell ref="G218:G229"/>
    <mergeCell ref="H218:H229"/>
    <mergeCell ref="I218:I229"/>
    <mergeCell ref="J218:J229"/>
    <mergeCell ref="K218:K229"/>
    <mergeCell ref="L218:L229"/>
    <mergeCell ref="G206:G217"/>
    <mergeCell ref="H206:H217"/>
    <mergeCell ref="I206:I217"/>
    <mergeCell ref="J206:J217"/>
    <mergeCell ref="K206:K217"/>
    <mergeCell ref="L206:L217"/>
    <mergeCell ref="G194:G205"/>
    <mergeCell ref="H194:H205"/>
    <mergeCell ref="I194:I205"/>
    <mergeCell ref="J194:J205"/>
    <mergeCell ref="K194:K205"/>
    <mergeCell ref="L194:L205"/>
    <mergeCell ref="G182:G193"/>
    <mergeCell ref="H182:H193"/>
    <mergeCell ref="I182:I193"/>
    <mergeCell ref="J182:J193"/>
    <mergeCell ref="K182:K193"/>
    <mergeCell ref="L182:L193"/>
    <mergeCell ref="G170:G181"/>
    <mergeCell ref="H170:H181"/>
    <mergeCell ref="I170:I181"/>
    <mergeCell ref="J170:J181"/>
    <mergeCell ref="K170:K181"/>
    <mergeCell ref="L170:L181"/>
    <mergeCell ref="G158:G169"/>
    <mergeCell ref="H158:H169"/>
    <mergeCell ref="I158:I169"/>
    <mergeCell ref="J158:J169"/>
    <mergeCell ref="K158:K169"/>
    <mergeCell ref="L158:L169"/>
    <mergeCell ref="G146:G157"/>
    <mergeCell ref="H146:H157"/>
    <mergeCell ref="I146:I157"/>
    <mergeCell ref="J146:J157"/>
    <mergeCell ref="K146:K157"/>
    <mergeCell ref="L146:L157"/>
    <mergeCell ref="G134:G145"/>
    <mergeCell ref="H134:H145"/>
    <mergeCell ref="I134:I145"/>
    <mergeCell ref="J134:J145"/>
    <mergeCell ref="K134:K145"/>
    <mergeCell ref="L134:L145"/>
    <mergeCell ref="G122:G133"/>
    <mergeCell ref="H122:H133"/>
    <mergeCell ref="I122:I133"/>
    <mergeCell ref="J122:J133"/>
    <mergeCell ref="K122:K133"/>
    <mergeCell ref="L122:L133"/>
    <mergeCell ref="G110:G121"/>
    <mergeCell ref="H110:H121"/>
    <mergeCell ref="I110:I121"/>
    <mergeCell ref="J110:J121"/>
    <mergeCell ref="K110:K121"/>
    <mergeCell ref="L110:L121"/>
    <mergeCell ref="G98:G109"/>
    <mergeCell ref="H98:H109"/>
    <mergeCell ref="I98:I109"/>
    <mergeCell ref="J98:J109"/>
    <mergeCell ref="K98:K109"/>
    <mergeCell ref="L98:L109"/>
    <mergeCell ref="G86:G97"/>
    <mergeCell ref="H86:H97"/>
    <mergeCell ref="I86:I97"/>
    <mergeCell ref="J86:J97"/>
    <mergeCell ref="K86:K97"/>
    <mergeCell ref="L86:L97"/>
    <mergeCell ref="G74:G85"/>
    <mergeCell ref="H74:H85"/>
    <mergeCell ref="I74:I85"/>
    <mergeCell ref="J74:J85"/>
    <mergeCell ref="K74:K85"/>
    <mergeCell ref="L74:L85"/>
    <mergeCell ref="G62:G73"/>
    <mergeCell ref="H62:H73"/>
    <mergeCell ref="I62:I73"/>
    <mergeCell ref="J62:J73"/>
    <mergeCell ref="K62:K73"/>
    <mergeCell ref="L62:L73"/>
    <mergeCell ref="G50:G61"/>
    <mergeCell ref="H50:H61"/>
    <mergeCell ref="I50:I61"/>
    <mergeCell ref="J50:J61"/>
    <mergeCell ref="K50:K61"/>
    <mergeCell ref="L50:L61"/>
    <mergeCell ref="G38:G49"/>
    <mergeCell ref="H38:H49"/>
    <mergeCell ref="I38:I49"/>
    <mergeCell ref="J38:J49"/>
    <mergeCell ref="K38:K49"/>
    <mergeCell ref="L38:L49"/>
    <mergeCell ref="G26:G37"/>
    <mergeCell ref="H26:H37"/>
    <mergeCell ref="I26:I37"/>
    <mergeCell ref="J26:J37"/>
    <mergeCell ref="K26:K37"/>
    <mergeCell ref="L26:L37"/>
    <mergeCell ref="G14:G25"/>
    <mergeCell ref="H14:H25"/>
    <mergeCell ref="I14:I25"/>
    <mergeCell ref="J14:J25"/>
    <mergeCell ref="K14:K25"/>
    <mergeCell ref="L14:L25"/>
    <mergeCell ref="G2:G13"/>
    <mergeCell ref="H2:H13"/>
    <mergeCell ref="I2:I13"/>
    <mergeCell ref="J2:J13"/>
    <mergeCell ref="K2:K13"/>
    <mergeCell ref="L2:L13"/>
  </mergeCells>
  <printOptions/>
  <pageMargins left="0.75" right="0.75" top="1" bottom="1" header="0.511811023622047" footer="0.511811023622047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G1"/>
  <sheetViews>
    <sheetView workbookViewId="0">
      <selection activeCell="A1" sqref="A1"/>
    </sheetView>
  </sheetViews>
  <sheetFormatPr defaultColWidth="67.5" defaultRowHeight="15"/>
  <cols>
    <col min="1" max="1" style="1" width="6.428571428571429" customWidth="1"/>
    <col min="2" max="3" style="1" width="3.571428571428572" customWidth="1"/>
    <col min="4" max="4" style="1" width="14.285714285714288" customWidth="1"/>
    <col min="5" max="5" style="1" width="25" customWidth="1"/>
    <col min="6" max="7" style="1" width="14.285714285714288" customWidth="1"/>
    <col min="8" max="16384" style="1" width="12.856370192307693"/>
  </cols>
  <sheetData>
    <row r="1" spans="1:7">
      <c r="A1" t="s">
        <v>0</v>
      </c>
      <c r="B1" t="s">
        <v>1</v>
      </c>
      <c r="C1" t="s">
        <v>2</v>
      </c>
      <c r="D1" t="inlineStr">
        <is>
          <t>End</t>
        </is>
      </c>
      <c r="F1" t="inlineStr">
        <is>
          <t>Balance</t>
        </is>
      </c>
      <c r="G1" t="inlineStr">
        <is>
          <t>Date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5" right="0.75" top="1" bottom="1" header="0.511811023622047" footer="0.511811023622047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LinksUpToDate>0</LinksUpToDate>
  <ScaleCrop>0</ScaleCrop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2024-11-01T08:28:37Z</dcterms:modified>
  <dc:language>en-GB</dc:language>
  <dcterms:created xsi:type="dcterms:W3CDTF">2020-10-31T07:51:49Z</dcterms:created>
  <cp:revision>3</cp:revision>
  <dc:creator>Unknown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9" name="KSOProductBuildVer">
    <vt:lpwstr>3081-11.3.1</vt:lpwstr>
  </property>
</Properties>
</file>