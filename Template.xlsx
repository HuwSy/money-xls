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ent" sheetId="1" state="visible" r:id="rId3"/>
    <sheet name="Plan" sheetId="2" state="visible" r:id="rId4"/>
    <sheet name="Over" sheetId="3" state="visible" r:id="rId5"/>
    <sheet name="Future" sheetId="4" state="visible" r:id="rId6"/>
  </sheets>
  <definedNames>
    <definedName function="false" hidden="false" localSheetId="0" name="_xlnm.Print_Area" vbProcedure="false">#REF!</definedName>
    <definedName function="false" hidden="false" localSheetId="0" name="_xlnm.Sheet_Title" vbProcedure="false">"Spent"</definedName>
    <definedName function="false" hidden="false" localSheetId="1" name="_xlnm.Print_Area" vbProcedure="false">#REF!</definedName>
    <definedName function="false" hidden="false" localSheetId="1" name="_xlnm.Sheet_Title" vbProcedure="false">"Plan"</definedName>
    <definedName function="false" hidden="false" localSheetId="2" name="_xlnm.Print_Area" vbProcedure="false">#REF!</definedName>
    <definedName function="false" hidden="false" localSheetId="2" name="_xlnm.Sheet_Title" vbProcedure="false">"Over"</definedName>
    <definedName function="false" hidden="false" localSheetId="3" name="_xlnm.Print_Area" vbProcedure="false">#REF!</definedName>
    <definedName function="false" hidden="false" localSheetId="3" name="_xlnm.Sheet_Title" vbProcedure="false">"Future"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<sst xmlns="http://schemas.openxmlformats.org/spreadsheetml/2006/main" count="58" uniqueCount="47">
  <si>
    <t xml:space="preserve">Combined Savings &amp; Loans</t>
  </si>
  <si>
    <t xml:space="preserve">Years to Calc</t>
  </si>
  <si>
    <t xml:space="preserve">Anniversary</t>
  </si>
  <si>
    <t xml:space="preserve">Birthday</t>
  </si>
  <si>
    <t xml:space="preserve">Christmas</t>
  </si>
  <si>
    <t xml:space="preserve">Fathers</t>
  </si>
  <si>
    <t xml:space="preserve">Mothers</t>
  </si>
  <si>
    <t xml:space="preserve">Clothes</t>
  </si>
  <si>
    <t xml:space="preserve">Food</t>
  </si>
  <si>
    <t xml:space="preserve">Medical</t>
  </si>
  <si>
    <t xml:space="preserve">Fuel</t>
  </si>
  <si>
    <t xml:space="preserve">Service</t>
  </si>
  <si>
    <t xml:space="preserve">Other</t>
  </si>
  <si>
    <t xml:space="preserve">Something</t>
  </si>
  <si>
    <t xml:space="preserve">Else</t>
  </si>
  <si>
    <t xml:space="preserve">In</t>
  </si>
  <si>
    <t xml:space="preserve">Here</t>
  </si>
  <si>
    <t xml:space="preserve">Y</t>
  </si>
  <si>
    <t xml:space="preserve">M</t>
  </si>
  <si>
    <t xml:space="preserve">D</t>
  </si>
  <si>
    <t xml:space="preserve">Combined Current Accounts</t>
  </si>
  <si>
    <t xml:space="preserve">Example food spent on this months credit card bill</t>
  </si>
  <si>
    <t xml:space="preserve">Example spent on previous credit card still outstanding</t>
  </si>
  <si>
    <t xml:space="preserve">INITIAL BALANCE</t>
  </si>
  <si>
    <t xml:space="preserve">Repeat Y</t>
  </si>
  <si>
    <t xml:space="preserve">End Y</t>
  </si>
  <si>
    <t xml:space="preserve">Start Y</t>
  </si>
  <si>
    <t xml:space="preserve">Value</t>
  </si>
  <si>
    <t xml:space="preserve">A heading for sorting</t>
  </si>
  <si>
    <t xml:space="preserve">Start</t>
  </si>
  <si>
    <t xml:space="preserve">Food Calculated from Spent Avg *</t>
  </si>
  <si>
    <t xml:space="preserve">Something Monthly April to March</t>
  </si>
  <si>
    <t xml:space="preserve">Something Weekly Not Post Retirement</t>
  </si>
  <si>
    <t xml:space="preserve">Oldest allowable date in app</t>
  </si>
  <si>
    <t xml:space="preserve">Total</t>
  </si>
  <si>
    <t xml:space="preserve">Post Retirement</t>
  </si>
  <si>
    <t xml:space="preserve">Spent</t>
  </si>
  <si>
    <t xml:space="preserve">One Off</t>
  </si>
  <si>
    <t xml:space="preserve">Expected</t>
  </si>
  <si>
    <t xml:space="preserve">Overspent</t>
  </si>
  <si>
    <t xml:space="preserve">Over</t>
  </si>
  <si>
    <t xml:space="preserve">Annual</t>
  </si>
  <si>
    <t xml:space="preserve">Low</t>
  </si>
  <si>
    <t xml:space="preserve">Weeks</t>
  </si>
  <si>
    <t xml:space="preserve">H / K</t>
  </si>
  <si>
    <t xml:space="preserve">Balance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</si>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</sst>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"/>
    <numFmt numFmtId="166" formatCode="\£#,##0.00;[RED]&quot;-£&quot;#,##0.0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3.2109375" defaultRowHeight="15" customHeight="true" zeroHeight="false" outlineLevelRow="0" outlineLevelCol="0"/>
  <cols>
    <col collapsed="false" customWidth="true" hidden="false" outlineLevel="0" max="1" min="1" style="1" width="6.6"/>
    <col collapsed="false" customWidth="true" hidden="false" outlineLevel="0" max="3" min="2" style="1" width="3.67"/>
    <col collapsed="false" customWidth="true" hidden="false" outlineLevel="0" max="4" min="4" style="1" width="14.67"/>
    <col collapsed="false" customWidth="true" hidden="false" outlineLevel="0" max="5" min="5" style="1" width="25.68"/>
    <col collapsed="false" customWidth="true" hidden="false" outlineLevel="0" max="6" min="6" style="1" width="14.67"/>
    <col collapsed="false" customWidth="true" hidden="false" outlineLevel="0" max="7" min="7" style="1" width="3.67"/>
    <col collapsed="false" customWidth="true" hidden="false" outlineLevel="0" max="10" min="8" style="1" width="12.47"/>
    <col collapsed="false" customWidth="true" hidden="false" outlineLevel="0" max="11" min="11" style="1" width="3.67"/>
    <col collapsed="false" customWidth="true" hidden="false" outlineLevel="0" max="13" min="12" style="1" width="12.47"/>
    <col collapsed="false" customWidth="true" hidden="false" outlineLevel="0" max="14" min="14" style="1" width="3.67"/>
    <col collapsed="false" customWidth="true" hidden="false" outlineLevel="0" max="17" min="15" style="1" width="12.47"/>
    <col collapsed="false" customWidth="true" hidden="false" outlineLevel="0" max="18" min="18" style="1" width="3.67"/>
    <col collapsed="false" customWidth="true" hidden="false" outlineLevel="0" max="21" min="19" style="1" width="12.47"/>
    <col collapsed="false" customWidth="true" hidden="false" outlineLevel="0" max="22" min="22" style="1" width="3.67"/>
    <col collapsed="false" customWidth="true" hidden="false" outlineLevel="0" max="24" min="23" style="1" width="12.47"/>
    <col collapsed="false" customWidth="true" hidden="false" outlineLevel="0" max="26" min="25" style="1" width="14.67"/>
    <col collapsed="false" customWidth="false" hidden="false" outlineLevel="0" max="16384" min="27" style="1" width="13.21"/>
  </cols>
  <sheetData>
    <row r="1" customFormat="false" ht="20" hidden="false" customHeight="true" outlineLevel="0" collapsed="false">
      <c r="A1" s="1" t="n">
        <f aca="true">YEAR(TODAY())</f>
        <v>2025</v>
      </c>
      <c r="B1" s="2" t="n">
        <f aca="true">MONTH(TODAY())</f>
        <v>11</v>
      </c>
      <c r="C1" s="2" t="n">
        <f aca="true">DAY(TODAY())</f>
        <v>20</v>
      </c>
      <c r="D1" s="3" t="n">
        <v>10</v>
      </c>
      <c r="E1" s="1" t="s">
        <v>0</v>
      </c>
      <c r="F1" s="1" t="s">
        <v>1</v>
      </c>
      <c r="G1" s="1" t="n">
        <v>10</v>
      </c>
      <c r="H1" s="1" t="s">
        <v>2</v>
      </c>
      <c r="I1" s="1" t="s">
        <v>3</v>
      </c>
      <c r="J1" s="1" t="s">
        <v>4</v>
      </c>
      <c r="L1" s="1" t="s">
        <v>5</v>
      </c>
      <c r="M1" s="1" t="s">
        <v>6</v>
      </c>
      <c r="O1" s="1" t="s">
        <v>7</v>
      </c>
      <c r="P1" s="1" t="s">
        <v>8</v>
      </c>
      <c r="Q1" s="1" t="s">
        <v>9</v>
      </c>
      <c r="S1" s="1" t="s">
        <v>10</v>
      </c>
      <c r="T1" s="1" t="s">
        <v>11</v>
      </c>
      <c r="U1" s="1" t="s">
        <v>12</v>
      </c>
      <c r="W1" s="1" t="s">
        <v>13</v>
      </c>
      <c r="X1" s="1" t="s">
        <v>14</v>
      </c>
      <c r="Y1" s="1" t="s">
        <v>15</v>
      </c>
      <c r="Z1" s="1" t="s">
        <v>16</v>
      </c>
    </row>
    <row r="2" customFormat="false" ht="20" hidden="false" customHeight="true" outlineLevel="0" collapsed="false">
      <c r="A2" s="1" t="s">
        <v>17</v>
      </c>
      <c r="B2" s="2" t="s">
        <v>18</v>
      </c>
      <c r="C2" s="2" t="s">
        <v>19</v>
      </c>
      <c r="D2" s="3" t="n">
        <f aca="false">SUM(D3:D6)-D1+E3</f>
        <v>40</v>
      </c>
      <c r="E2" s="1" t="s">
        <v>20</v>
      </c>
      <c r="F2" s="1" t="str">
        <f aca="false">""</f>
        <v/>
      </c>
      <c r="H2" s="3" t="n">
        <f aca="false">SUM(H3:H5)/($A1-$A5+1)</f>
        <v>0</v>
      </c>
      <c r="I2" s="3" t="n">
        <f aca="false">SUM(I3:I5)/($A1-$A5+1)</f>
        <v>0</v>
      </c>
      <c r="J2" s="3" t="n">
        <f aca="false">SUM(J3:J5)/($A1-$A5)</f>
        <v>0</v>
      </c>
      <c r="L2" s="3" t="n">
        <f aca="false">SUM(L3:L5)/($A1-$A5+IF($B1&gt;=6,1,0))</f>
        <v>0</v>
      </c>
      <c r="M2" s="3" t="n">
        <f aca="false">SUM(M3:M5)/($A1-$A5+IF($B1&gt;3,1,0)-1)</f>
        <v>0</v>
      </c>
      <c r="O2" s="3" t="n">
        <f aca="false">30.416*SUM(O3:O5)/(365*($A1-$A5)+30.416*($B1-$B5)+$C1-$C5)</f>
        <v>0</v>
      </c>
      <c r="P2" s="3" t="n">
        <f aca="false">SUM(P3:P5)/(365*($A1-$A5)+30.416*($B1-$B5)+$C1-$C5)</f>
        <v>-0.00280798335876742</v>
      </c>
      <c r="Q2" s="3" t="n">
        <f aca="false">30.416*SUM(Q3:Q5)/(365*($A1-$A5)+30.416*($B1-$B5)+$C1-$C5)</f>
        <v>0</v>
      </c>
      <c r="S2" s="3" t="n">
        <f aca="false">7*SUM(S3:S5)/(365*($A1-$A5)+30.416*($B1-$B5)+$C1-$C5)</f>
        <v>0</v>
      </c>
      <c r="T2" s="3" t="n">
        <f aca="false">30.416*SUM(T3:T5)/(365*($A1-$A5)+30.416*($B1-$B5)+$C1-$C5)</f>
        <v>0</v>
      </c>
      <c r="U2" s="3" t="n">
        <f aca="false">30.416*SUM(U3:U5)/(365*($A1-$A5)+30.416*($B1-$B5)+$C1-$C5)</f>
        <v>0</v>
      </c>
      <c r="W2" s="3" t="n">
        <f aca="false">30.416*SUM(W3:W5)/(365*($A1-$A5)+30.416*($B1-$B5)+$C1-$C5)</f>
        <v>0</v>
      </c>
      <c r="X2" s="3" t="n">
        <f aca="false">30.416*SUM(X3:X5)/(365*($A1-$A5)+30.416*($B1-$B5)+$C1-$C5)</f>
        <v>0</v>
      </c>
      <c r="Y2" s="3" t="n">
        <f aca="false">30.416*SUM(Y3:Y5)/(365*($A1-$A5)+30.416*($B1-$B5)+$C1-$C5)</f>
        <v>-0.05693841456018</v>
      </c>
      <c r="Z2" s="3" t="n">
        <f aca="false">30.416*SUM(Z3:Z5)/(365*($A1-$A5)+30.416*($B1-$B5)+$C1-$C5)</f>
        <v>0</v>
      </c>
    </row>
    <row r="3" customFormat="false" ht="20" hidden="false" customHeight="true" outlineLevel="0" collapsed="false">
      <c r="C3" s="2" t="n">
        <v>0</v>
      </c>
      <c r="D3" s="3" t="n">
        <f aca="false">-SUM(D4)</f>
        <v>15</v>
      </c>
      <c r="E3" s="3" t="n">
        <f aca="false">-SUM(D5)</f>
        <v>10</v>
      </c>
      <c r="F3" s="1" t="str">
        <f aca="false">""</f>
        <v/>
      </c>
      <c r="G3" s="3" t="str">
        <f aca="false">""</f>
        <v/>
      </c>
      <c r="H3" s="3" t="str">
        <f aca="false">IF(ISERROR(FIND(LOWER(H$1),LOWER($E3))),"",$D3)</f>
        <v/>
      </c>
      <c r="I3" s="3" t="str">
        <f aca="false">IF(ISERROR(FIND(LOWER(I$1),LOWER($E3))),"",$D3)</f>
        <v/>
      </c>
      <c r="J3" s="3" t="str">
        <f aca="false">IF(ISERROR(FIND(LOWER(J$1),LOWER($E3))),"",$D3)</f>
        <v/>
      </c>
      <c r="L3" s="3" t="str">
        <f aca="false">IF(ISERROR(FIND(LOWER(L$1),LOWER($E3))),"",$D3)</f>
        <v/>
      </c>
      <c r="M3" s="3" t="str">
        <f aca="false">IF(ISERROR(FIND(LOWER(M$1),LOWER($E3))),"",$D3)</f>
        <v/>
      </c>
      <c r="N3" s="3" t="str">
        <f aca="false">""</f>
        <v/>
      </c>
      <c r="O3" s="3" t="str">
        <f aca="false">IF(ISERROR(FIND(LOWER(O$1),LOWER($E3))),"",$D3)</f>
        <v/>
      </c>
      <c r="P3" s="3" t="str">
        <f aca="false">IF(ISERROR(FIND(LOWER(P$1),LOWER($E3))),"",$D3)</f>
        <v/>
      </c>
      <c r="Q3" s="3" t="str">
        <f aca="false">IF(ISERROR(FIND(LOWER(Q$1),LOWER($E3))),"",$D3)</f>
        <v/>
      </c>
      <c r="S3" s="3" t="str">
        <f aca="false">IF(ISERROR(FIND(LOWER(S$1),LOWER($E3))),"",$D3)</f>
        <v/>
      </c>
      <c r="T3" s="3" t="str">
        <f aca="false">IF(ISERROR(FIND(LOWER(T$1),LOWER($E3))),"",$D3)</f>
        <v/>
      </c>
      <c r="U3" s="3" t="str">
        <f aca="false">IF(ISERROR(FIND(LOWER(U$1),LOWER($E3))),"",$D3)</f>
        <v/>
      </c>
      <c r="W3" s="3" t="str">
        <f aca="false">IF(ISERROR(FIND(LOWER(W$1),LOWER($E3))),"",$D3)</f>
        <v/>
      </c>
      <c r="X3" s="3" t="str">
        <f aca="false">IF(ISERROR(FIND(LOWER(X$1),LOWER($E3))),"",$D3)</f>
        <v/>
      </c>
      <c r="Y3" s="3" t="str">
        <f aca="false">IF(ISERROR(FIND(LOWER(Y$1),LOWER($E3))),"",$D3)</f>
        <v/>
      </c>
      <c r="Z3" s="3" t="str">
        <f aca="false">IF(ISERROR(FIND(LOWER(Z$1),LOWER($E3))),"",$D3)</f>
        <v/>
      </c>
    </row>
    <row r="4" customFormat="false" ht="20" hidden="false" customHeight="true" outlineLevel="0" collapsed="false">
      <c r="A4" s="2" t="n">
        <v>2011</v>
      </c>
      <c r="B4" s="2" t="n">
        <v>4</v>
      </c>
      <c r="C4" s="2" t="n">
        <v>1</v>
      </c>
      <c r="D4" s="3" t="n">
        <v>-15</v>
      </c>
      <c r="E4" s="1" t="s">
        <v>21</v>
      </c>
      <c r="F4" s="1" t="str">
        <f aca="false">""</f>
        <v/>
      </c>
      <c r="G4" s="3" t="str">
        <f aca="false">""</f>
        <v/>
      </c>
      <c r="H4" s="3" t="str">
        <f aca="false">IF(ISERROR(FIND(LOWER(H$1),LOWER($E4))),"",$D4)</f>
        <v/>
      </c>
      <c r="I4" s="3" t="str">
        <f aca="false">IF(ISERROR(FIND(LOWER(I$1),LOWER($E4))),"",$D4)</f>
        <v/>
      </c>
      <c r="J4" s="3" t="str">
        <f aca="false">IF(ISERROR(FIND(LOWER(J$1),LOWER($E4))),"",$D4)</f>
        <v/>
      </c>
      <c r="L4" s="3" t="str">
        <f aca="false">IF(ISERROR(FIND(LOWER(L$1),LOWER($E4))),"",$D4)</f>
        <v/>
      </c>
      <c r="M4" s="3" t="str">
        <f aca="false">IF(ISERROR(FIND(LOWER(M$1),LOWER($E4))),"",$D4)</f>
        <v/>
      </c>
      <c r="N4" s="3" t="str">
        <f aca="false">""</f>
        <v/>
      </c>
      <c r="O4" s="3" t="str">
        <f aca="false">IF(ISERROR(FIND(LOWER(O$1),LOWER($E4))),"",$D4)</f>
        <v/>
      </c>
      <c r="P4" s="3" t="n">
        <f aca="false">IF(ISERROR(FIND(LOWER(P$1),LOWER($E4))),"",$D4)</f>
        <v>-15</v>
      </c>
      <c r="Q4" s="3" t="str">
        <f aca="false">IF(ISERROR(FIND(LOWER(Q$1),LOWER($E4))),"",$D4)</f>
        <v/>
      </c>
      <c r="S4" s="3" t="str">
        <f aca="false">IF(ISERROR(FIND(LOWER(S$1),LOWER($E4))),"",$D4)</f>
        <v/>
      </c>
      <c r="T4" s="3" t="str">
        <f aca="false">IF(ISERROR(FIND(LOWER(T$1),LOWER($E4))),"",$D4)</f>
        <v/>
      </c>
      <c r="U4" s="3" t="str">
        <f aca="false">IF(ISERROR(FIND(LOWER(U$1),LOWER($E4))),"",$D4)</f>
        <v/>
      </c>
      <c r="W4" s="3" t="str">
        <f aca="false">IF(ISERROR(FIND(LOWER(W$1),LOWER($E4))),"",$D4)</f>
        <v/>
      </c>
      <c r="X4" s="3" t="str">
        <f aca="false">IF(ISERROR(FIND(LOWER(X$1),LOWER($E4))),"",$D4)</f>
        <v/>
      </c>
      <c r="Y4" s="3" t="str">
        <f aca="false">IF(ISERROR(FIND(LOWER(Y$1),LOWER($E4))),"",$D4)</f>
        <v/>
      </c>
      <c r="Z4" s="3" t="str">
        <f aca="false">IF(ISERROR(FIND(LOWER(Z$1),LOWER($E4))),"",$D4)</f>
        <v/>
      </c>
    </row>
    <row r="5" customFormat="false" ht="20" hidden="false" customHeight="true" outlineLevel="0" collapsed="false">
      <c r="A5" s="2" t="n">
        <v>2011</v>
      </c>
      <c r="B5" s="2" t="n">
        <v>4</v>
      </c>
      <c r="C5" s="2" t="n">
        <v>1</v>
      </c>
      <c r="D5" s="3" t="n">
        <v>-10</v>
      </c>
      <c r="E5" s="1" t="s">
        <v>22</v>
      </c>
      <c r="F5" s="1" t="str">
        <f aca="false">""</f>
        <v/>
      </c>
      <c r="G5" s="3" t="str">
        <f aca="false">""</f>
        <v/>
      </c>
      <c r="H5" s="3" t="str">
        <f aca="false">IF(ISERROR(FIND(LOWER(H$1),LOWER($E5))),"",$D5)</f>
        <v/>
      </c>
      <c r="I5" s="3" t="str">
        <f aca="false">IF(ISERROR(FIND(LOWER(I$1),LOWER($E5))),"",$D5)</f>
        <v/>
      </c>
      <c r="J5" s="3" t="str">
        <f aca="false">IF(ISERROR(FIND(LOWER(J$1),LOWER($E5))),"",$D5)</f>
        <v/>
      </c>
      <c r="L5" s="3" t="str">
        <f aca="false">IF(ISERROR(FIND(LOWER(L$1),LOWER($E5))),"",$D5)</f>
        <v/>
      </c>
      <c r="M5" s="3" t="str">
        <f aca="false">IF(ISERROR(FIND(LOWER(M$1),LOWER($E5))),"",$D5)</f>
        <v/>
      </c>
      <c r="N5" s="3" t="str">
        <f aca="false">""</f>
        <v/>
      </c>
      <c r="O5" s="3" t="str">
        <f aca="false">IF(ISERROR(FIND(LOWER(O$1),LOWER($E5))),"",$D5)</f>
        <v/>
      </c>
      <c r="P5" s="3" t="str">
        <f aca="false">IF(ISERROR(FIND(LOWER(P$1),LOWER($E5))),"",$D5)</f>
        <v/>
      </c>
      <c r="Q5" s="3" t="str">
        <f aca="false">IF(ISERROR(FIND(LOWER(Q$1),LOWER($E5))),"",$D5)</f>
        <v/>
      </c>
      <c r="S5" s="3" t="str">
        <f aca="false">IF(ISERROR(FIND(LOWER(S$1),LOWER($E5))),"",$D5)</f>
        <v/>
      </c>
      <c r="T5" s="3" t="str">
        <f aca="false">IF(ISERROR(FIND(LOWER(T$1),LOWER($E5))),"",$D5)</f>
        <v/>
      </c>
      <c r="U5" s="3" t="str">
        <f aca="false">IF(ISERROR(FIND(LOWER(U$1),LOWER($E5))),"",$D5)</f>
        <v/>
      </c>
      <c r="W5" s="3" t="str">
        <f aca="false">IF(ISERROR(FIND(LOWER(W$1),LOWER($E5))),"",$D5)</f>
        <v/>
      </c>
      <c r="X5" s="3" t="str">
        <f aca="false">IF(ISERROR(FIND(LOWER(X$1),LOWER($E5))),"",$D5)</f>
        <v/>
      </c>
      <c r="Y5" s="3" t="n">
        <f aca="false">IF(ISERROR(FIND(LOWER(Y$1),LOWER($E5))),"",$D5)</f>
        <v>-10</v>
      </c>
      <c r="Z5" s="3" t="str">
        <f aca="false">IF(ISERROR(FIND(LOWER(Z$1),LOWER($E5))),"",$D5)</f>
        <v/>
      </c>
    </row>
    <row r="6" customFormat="false" ht="20" hidden="false" customHeight="true" outlineLevel="0" collapsed="false">
      <c r="D6" s="3" t="n">
        <v>50</v>
      </c>
      <c r="E6" s="1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3.2109375" defaultRowHeight="15" customHeight="true" zeroHeight="false" outlineLevelRow="0" outlineLevelCol="0"/>
  <cols>
    <col collapsed="false" customWidth="true" hidden="false" outlineLevel="0" max="3" min="1" style="1" width="3.67"/>
    <col collapsed="false" customWidth="true" hidden="false" outlineLevel="0" max="4" min="4" style="1" width="6.6"/>
    <col collapsed="false" customWidth="true" hidden="false" outlineLevel="0" max="6" min="5" style="1" width="3.67"/>
    <col collapsed="false" customWidth="true" hidden="false" outlineLevel="0" max="7" min="7" style="1" width="6.6"/>
    <col collapsed="false" customWidth="true" hidden="false" outlineLevel="0" max="9" min="8" style="1" width="3.67"/>
    <col collapsed="false" customWidth="true" hidden="false" outlineLevel="0" max="10" min="10" style="1" width="14.67"/>
    <col collapsed="false" customWidth="true" hidden="false" outlineLevel="0" max="11" min="11" style="1" width="25.68"/>
    <col collapsed="false" customWidth="true" hidden="false" outlineLevel="0" max="12" min="12" style="1" width="3.67"/>
    <col collapsed="false" customWidth="true" hidden="false" outlineLevel="0" max="14" min="13" style="1" width="18.34"/>
    <col collapsed="false" customWidth="true" hidden="false" outlineLevel="0" max="15" min="15" style="1" width="14.67"/>
    <col collapsed="false" customWidth="false" hidden="false" outlineLevel="0" max="16384" min="16" style="1" width="13.21"/>
  </cols>
  <sheetData>
    <row r="1" customFormat="false" ht="20" hidden="false" customHeight="true" outlineLevel="0" collapsed="false">
      <c r="A1" s="1" t="s">
        <v>24</v>
      </c>
      <c r="B1" s="1" t="s">
        <v>18</v>
      </c>
      <c r="C1" s="1" t="s">
        <v>19</v>
      </c>
      <c r="D1" s="1" t="s">
        <v>25</v>
      </c>
      <c r="E1" s="1" t="s">
        <v>18</v>
      </c>
      <c r="F1" s="1" t="s">
        <v>19</v>
      </c>
      <c r="G1" s="1" t="s">
        <v>26</v>
      </c>
      <c r="H1" s="1" t="s">
        <v>18</v>
      </c>
      <c r="I1" s="1" t="s">
        <v>19</v>
      </c>
      <c r="J1" s="3" t="s">
        <v>27</v>
      </c>
      <c r="K1" s="1" t="s">
        <v>28</v>
      </c>
      <c r="L1" s="1" t="n">
        <v>-9</v>
      </c>
      <c r="M1" s="3" t="n">
        <f aca="false">SUM(M2:M4)</f>
        <v>-225.310628211664</v>
      </c>
      <c r="N1" s="3" t="n">
        <f aca="false">SUM(N2:N4)</f>
        <v>-121.02491392595</v>
      </c>
      <c r="O1" s="1" t="s">
        <v>29</v>
      </c>
    </row>
    <row r="2" customFormat="false" ht="20" hidden="false" customHeight="true" outlineLevel="0" collapsed="false">
      <c r="C2" s="2" t="n">
        <v>7</v>
      </c>
      <c r="G2" s="2" t="n">
        <v>2020</v>
      </c>
      <c r="H2" s="2" t="n">
        <v>4</v>
      </c>
      <c r="I2" s="2" t="n">
        <v>1</v>
      </c>
      <c r="J2" s="3" t="n">
        <f aca="false">Spent!$P$2*C2</f>
        <v>-0.019655883511372</v>
      </c>
      <c r="K2" s="1" t="s">
        <v>30</v>
      </c>
      <c r="L2" s="1" t="n">
        <v>1</v>
      </c>
      <c r="M2" s="3" t="n">
        <f aca="false">IF(($A2&gt;0),($J2/$A2),IF(($B2&gt;0),((12*$J2)/$B2),((365*$J2)/$C2)))</f>
        <v>-1.02491392595011</v>
      </c>
      <c r="N2" s="3" t="n">
        <f aca="false">IF(($A2&gt;0),($J2/$A2),IF(($B2&gt;0),((12*$J2)/$B2),((365*$J2)/$C2)))</f>
        <v>-1.02491392595011</v>
      </c>
      <c r="O2" s="1" t="str">
        <f aca="false">G2&amp;"-"&amp;IF(H2&lt;10,0,"")&amp;H2&amp;"-"&amp;IF(I2&lt;10,0,"")&amp;I2</f>
        <v>2020-04-01</v>
      </c>
    </row>
    <row r="3" customFormat="false" ht="20" hidden="false" customHeight="true" outlineLevel="0" collapsed="false">
      <c r="B3" s="2" t="n">
        <v>1</v>
      </c>
      <c r="D3" s="2" t="n">
        <v>2021</v>
      </c>
      <c r="E3" s="2" t="n">
        <v>4</v>
      </c>
      <c r="F3" s="2" t="n">
        <v>1</v>
      </c>
      <c r="G3" s="2" t="n">
        <v>2020</v>
      </c>
      <c r="H3" s="2" t="n">
        <v>4</v>
      </c>
      <c r="I3" s="2" t="n">
        <v>1</v>
      </c>
      <c r="J3" s="3" t="n">
        <v>-10</v>
      </c>
      <c r="K3" s="1" t="s">
        <v>31</v>
      </c>
      <c r="L3" s="1" t="n">
        <v>2</v>
      </c>
      <c r="M3" s="3" t="n">
        <f aca="false">IF(($A3&gt;0),($J3/$A3),IF(($B3&gt;0),((12*$J3)/$B3),((365*$J3)/$C3)))</f>
        <v>-120</v>
      </c>
      <c r="N3" s="3" t="n">
        <f aca="false">IF(($A3&gt;0),($J3/$A3),IF(($B3&gt;0),((12*$J3)/$B3),((365*$J3)/$C3)))</f>
        <v>-120</v>
      </c>
      <c r="O3" s="1" t="str">
        <f aca="false">G3&amp;"-"&amp;IF(H3&lt;10,0,"")&amp;H3&amp;"-"&amp;IF(I3&lt;10,0,"")&amp;I3</f>
        <v>2020-04-01</v>
      </c>
    </row>
    <row r="4" customFormat="false" ht="20" hidden="false" customHeight="true" outlineLevel="0" collapsed="false">
      <c r="C4" s="2" t="n">
        <v>7</v>
      </c>
      <c r="G4" s="2" t="n">
        <v>2020</v>
      </c>
      <c r="H4" s="2" t="n">
        <v>4</v>
      </c>
      <c r="I4" s="2" t="n">
        <v>1</v>
      </c>
      <c r="J4" s="3" t="n">
        <v>-2</v>
      </c>
      <c r="K4" s="1" t="s">
        <v>32</v>
      </c>
      <c r="L4" s="1" t="n">
        <v>3</v>
      </c>
      <c r="M4" s="3" t="n">
        <f aca="false">IF(($A4&gt;0),($J4/$A4),IF(($B4&gt;0),((12*$J4)/$B4),((365*$J4)/$C4)))</f>
        <v>-104.285714285714</v>
      </c>
      <c r="O4" s="1" t="str">
        <f aca="false">G4&amp;"-"&amp;IF(H4&lt;10,0,"")&amp;H4&amp;"-"&amp;IF(I4&lt;10,0,"")&amp;I4</f>
        <v>2020-04-01</v>
      </c>
    </row>
    <row r="5" customFormat="false" ht="20" hidden="false" customHeight="true" outlineLevel="0" collapsed="false">
      <c r="G5" s="2" t="n">
        <v>2011</v>
      </c>
      <c r="H5" s="2" t="n">
        <v>4</v>
      </c>
      <c r="I5" s="2" t="n">
        <v>1</v>
      </c>
      <c r="J5" s="1" t="n">
        <v>0</v>
      </c>
      <c r="K5" s="1" t="s">
        <v>33</v>
      </c>
      <c r="M5" s="1" t="s">
        <v>34</v>
      </c>
      <c r="N5" s="1" t="s">
        <v>35</v>
      </c>
      <c r="O5" s="1" t="str">
        <f aca="false">G5&amp;"-"&amp;IF(H5&lt;10,0,"")&amp;H5&amp;"-"&amp;IF(I5&lt;10,0,"")&amp;I5</f>
        <v>2011-04-01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2109375" defaultRowHeight="15" customHeight="true" zeroHeight="false" outlineLevelRow="0" outlineLevelCol="0"/>
  <cols>
    <col collapsed="false" customWidth="true" hidden="false" outlineLevel="0" max="1" min="1" style="1" width="6.6"/>
    <col collapsed="false" customWidth="true" hidden="false" outlineLevel="0" max="2" min="2" style="1" width="3.67"/>
    <col collapsed="false" customWidth="true" hidden="false" outlineLevel="0" max="6" min="3" style="1" width="14.67"/>
    <col collapsed="false" customWidth="true" hidden="false" outlineLevel="0" max="7" min="7" style="1" width="3.67"/>
    <col collapsed="false" customWidth="true" hidden="false" outlineLevel="0" max="10" min="8" style="1" width="14.67"/>
    <col collapsed="false" customWidth="true" hidden="false" outlineLevel="0" max="12" min="11" style="1" width="8.8"/>
    <col collapsed="false" customWidth="false" hidden="false" outlineLevel="0" max="16384" min="13" style="1" width="13.21"/>
  </cols>
  <sheetData>
    <row r="1" customFormat="false" ht="15" hidden="false" customHeight="false" outlineLevel="0" collapsed="false">
      <c r="A1" s="1" t="s">
        <v>17</v>
      </c>
      <c r="B1" s="1" t="s">
        <v>18</v>
      </c>
      <c r="C1" s="1" t="s">
        <v>36</v>
      </c>
      <c r="D1" s="1" t="s">
        <v>37</v>
      </c>
      <c r="E1" s="1" t="s">
        <v>38</v>
      </c>
      <c r="F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</row>
  </sheetData>
  <mergeCells count="180">
    <mergeCell ref="G2:G13"/>
    <mergeCell ref="H2:H13"/>
    <mergeCell ref="I2:I13"/>
    <mergeCell ref="J2:J13"/>
    <mergeCell ref="K2:K13"/>
    <mergeCell ref="L2:L13"/>
    <mergeCell ref="G14:G25"/>
    <mergeCell ref="H14:H25"/>
    <mergeCell ref="I14:I25"/>
    <mergeCell ref="J14:J25"/>
    <mergeCell ref="K14:K25"/>
    <mergeCell ref="L14:L25"/>
    <mergeCell ref="G26:G37"/>
    <mergeCell ref="H26:H37"/>
    <mergeCell ref="I26:I37"/>
    <mergeCell ref="J26:J37"/>
    <mergeCell ref="K26:K37"/>
    <mergeCell ref="L26:L37"/>
    <mergeCell ref="G38:G49"/>
    <mergeCell ref="H38:H49"/>
    <mergeCell ref="I38:I49"/>
    <mergeCell ref="J38:J49"/>
    <mergeCell ref="K38:K49"/>
    <mergeCell ref="L38:L49"/>
    <mergeCell ref="G50:G61"/>
    <mergeCell ref="H50:H61"/>
    <mergeCell ref="I50:I61"/>
    <mergeCell ref="J50:J61"/>
    <mergeCell ref="K50:K61"/>
    <mergeCell ref="L50:L61"/>
    <mergeCell ref="G62:G73"/>
    <mergeCell ref="H62:H73"/>
    <mergeCell ref="I62:I73"/>
    <mergeCell ref="J62:J73"/>
    <mergeCell ref="K62:K73"/>
    <mergeCell ref="L62:L73"/>
    <mergeCell ref="G74:G85"/>
    <mergeCell ref="H74:H85"/>
    <mergeCell ref="I74:I85"/>
    <mergeCell ref="J74:J85"/>
    <mergeCell ref="K74:K85"/>
    <mergeCell ref="L74:L85"/>
    <mergeCell ref="G86:G97"/>
    <mergeCell ref="H86:H97"/>
    <mergeCell ref="I86:I97"/>
    <mergeCell ref="J86:J97"/>
    <mergeCell ref="K86:K97"/>
    <mergeCell ref="L86:L97"/>
    <mergeCell ref="G98:G109"/>
    <mergeCell ref="H98:H109"/>
    <mergeCell ref="I98:I109"/>
    <mergeCell ref="J98:J109"/>
    <mergeCell ref="K98:K109"/>
    <mergeCell ref="L98:L109"/>
    <mergeCell ref="G110:G121"/>
    <mergeCell ref="H110:H121"/>
    <mergeCell ref="I110:I121"/>
    <mergeCell ref="J110:J121"/>
    <mergeCell ref="K110:K121"/>
    <mergeCell ref="L110:L121"/>
    <mergeCell ref="G122:G133"/>
    <mergeCell ref="H122:H133"/>
    <mergeCell ref="I122:I133"/>
    <mergeCell ref="J122:J133"/>
    <mergeCell ref="K122:K133"/>
    <mergeCell ref="L122:L133"/>
    <mergeCell ref="G134:G145"/>
    <mergeCell ref="H134:H145"/>
    <mergeCell ref="I134:I145"/>
    <mergeCell ref="J134:J145"/>
    <mergeCell ref="K134:K145"/>
    <mergeCell ref="L134:L145"/>
    <mergeCell ref="G146:G157"/>
    <mergeCell ref="H146:H157"/>
    <mergeCell ref="I146:I157"/>
    <mergeCell ref="J146:J157"/>
    <mergeCell ref="K146:K157"/>
    <mergeCell ref="L146:L157"/>
    <mergeCell ref="G158:G169"/>
    <mergeCell ref="H158:H169"/>
    <mergeCell ref="I158:I169"/>
    <mergeCell ref="J158:J169"/>
    <mergeCell ref="K158:K169"/>
    <mergeCell ref="L158:L169"/>
    <mergeCell ref="G170:G181"/>
    <mergeCell ref="H170:H181"/>
    <mergeCell ref="I170:I181"/>
    <mergeCell ref="J170:J181"/>
    <mergeCell ref="K170:K181"/>
    <mergeCell ref="L170:L181"/>
    <mergeCell ref="G182:G193"/>
    <mergeCell ref="H182:H193"/>
    <mergeCell ref="I182:I193"/>
    <mergeCell ref="J182:J193"/>
    <mergeCell ref="K182:K193"/>
    <mergeCell ref="L182:L193"/>
    <mergeCell ref="G194:G205"/>
    <mergeCell ref="H194:H205"/>
    <mergeCell ref="I194:I205"/>
    <mergeCell ref="J194:J205"/>
    <mergeCell ref="K194:K205"/>
    <mergeCell ref="L194:L205"/>
    <mergeCell ref="G206:G217"/>
    <mergeCell ref="H206:H217"/>
    <mergeCell ref="I206:I217"/>
    <mergeCell ref="J206:J217"/>
    <mergeCell ref="K206:K217"/>
    <mergeCell ref="L206:L217"/>
    <mergeCell ref="G218:G229"/>
    <mergeCell ref="H218:H229"/>
    <mergeCell ref="I218:I229"/>
    <mergeCell ref="J218:J229"/>
    <mergeCell ref="K218:K229"/>
    <mergeCell ref="L218:L229"/>
    <mergeCell ref="G230:G241"/>
    <mergeCell ref="H230:H241"/>
    <mergeCell ref="I230:I241"/>
    <mergeCell ref="J230:J241"/>
    <mergeCell ref="K230:K241"/>
    <mergeCell ref="L230:L241"/>
    <mergeCell ref="G242:G253"/>
    <mergeCell ref="H242:H253"/>
    <mergeCell ref="I242:I253"/>
    <mergeCell ref="J242:J253"/>
    <mergeCell ref="K242:K253"/>
    <mergeCell ref="L242:L253"/>
    <mergeCell ref="G254:G265"/>
    <mergeCell ref="H254:H265"/>
    <mergeCell ref="I254:I265"/>
    <mergeCell ref="J254:J265"/>
    <mergeCell ref="K254:K265"/>
    <mergeCell ref="L254:L265"/>
    <mergeCell ref="G266:G277"/>
    <mergeCell ref="H266:H277"/>
    <mergeCell ref="I266:I277"/>
    <mergeCell ref="J266:J277"/>
    <mergeCell ref="K266:K277"/>
    <mergeCell ref="L266:L277"/>
    <mergeCell ref="G278:G289"/>
    <mergeCell ref="H278:H289"/>
    <mergeCell ref="I278:I289"/>
    <mergeCell ref="J278:J289"/>
    <mergeCell ref="K278:K289"/>
    <mergeCell ref="L278:L289"/>
    <mergeCell ref="G290:G301"/>
    <mergeCell ref="H290:H301"/>
    <mergeCell ref="I290:I301"/>
    <mergeCell ref="J290:J301"/>
    <mergeCell ref="K290:K301"/>
    <mergeCell ref="L290:L301"/>
    <mergeCell ref="G302:G313"/>
    <mergeCell ref="H302:H313"/>
    <mergeCell ref="I302:I313"/>
    <mergeCell ref="J302:J313"/>
    <mergeCell ref="K302:K313"/>
    <mergeCell ref="L302:L313"/>
    <mergeCell ref="G314:G325"/>
    <mergeCell ref="H314:H325"/>
    <mergeCell ref="I314:I325"/>
    <mergeCell ref="J314:J325"/>
    <mergeCell ref="K314:K325"/>
    <mergeCell ref="L314:L325"/>
    <mergeCell ref="G326:G337"/>
    <mergeCell ref="H326:H337"/>
    <mergeCell ref="I326:I337"/>
    <mergeCell ref="J326:J337"/>
    <mergeCell ref="K326:K337"/>
    <mergeCell ref="L326:L337"/>
    <mergeCell ref="G338:G349"/>
    <mergeCell ref="H338:H349"/>
    <mergeCell ref="I338:I349"/>
    <mergeCell ref="J338:J349"/>
    <mergeCell ref="K338:K349"/>
    <mergeCell ref="L338:L349"/>
    <mergeCell ref="G350:G361"/>
    <mergeCell ref="H350:H361"/>
    <mergeCell ref="I350:I361"/>
    <mergeCell ref="J350:J361"/>
    <mergeCell ref="K350:K361"/>
    <mergeCell ref="L350:L3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3.2109375" defaultRowHeight="15" customHeight="true" zeroHeight="false" outlineLevelRow="0" outlineLevelCol="0"/>
  <cols>
    <col collapsed="false" customWidth="true" hidden="false" outlineLevel="0" max="1" min="1" style="1" width="6.6"/>
    <col collapsed="false" customWidth="true" hidden="false" outlineLevel="0" max="3" min="2" style="1" width="3.67"/>
    <col collapsed="false" customWidth="true" hidden="false" outlineLevel="0" max="4" min="4" style="1" width="14.67"/>
    <col collapsed="false" customWidth="true" hidden="false" outlineLevel="0" max="5" min="5" style="1" width="25.68"/>
    <col collapsed="false" customWidth="true" hidden="false" outlineLevel="0" max="7" min="6" style="1" width="14.67"/>
    <col collapsed="false" customWidth="false" hidden="false" outlineLevel="0" max="16384" min="8" style="1" width="13.21"/>
  </cols>
  <sheetData>
    <row r="1" customFormat="false" ht="15" hidden="false" customHeight="false" outlineLevel="0" collapsed="false">
      <c r="A1" s="1" t="s">
        <v>17</v>
      </c>
      <c r="B1" s="1" t="s">
        <v>18</v>
      </c>
      <c r="C1" s="1" t="s">
        <v>19</v>
      </c>
      <c r="F1" s="1" t="s">
        <v>45</v>
      </c>
      <c r="G1" s="1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2020-10-31T07:51:49Z</dcterms:created>
  <dc:creator>Unknown</dc:creator>
  <dc:description/>
  <dc:language>en-GB</dc:language>
  <cp:lastModifiedBy/>
  <dcterms:modified xsi:type="dcterms:W3CDTF">2025-11-20T22:55:29Z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3081-11.3.1</vt:lpwstr>
  </property>
</Properties>
</file>