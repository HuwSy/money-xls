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pent" sheetId="1" r:id="rId1"/>
    <sheet name="Plan" sheetId="2" r:id="rId2"/>
    <sheet name="Over" sheetId="3" r:id="rId3"/>
    <sheet name="Future" sheetId="4" r:id="rId4"/>
  </sheets>
  <definedNames>
    <definedName name="_xlnm.Print_Area" localSheetId="0">#REF!</definedName>
    <definedName name="_xlnm.Sheet_Title" localSheetId="0">"Spent"</definedName>
    <definedName name="_xlnm.Print_Area" localSheetId="1">#REF!</definedName>
    <definedName name="_xlnm.Sheet_Title" localSheetId="1">"Plan"</definedName>
    <definedName name="_xlnm.Print_Area" localSheetId="2">#REF!</definedName>
    <definedName name="_xlnm.Sheet_Title" localSheetId="2">"Over"</definedName>
    <definedName name="_xlnm.Print_Area" localSheetId="3">#REF!</definedName>
    <definedName name="_xlnm.Sheet_Title" localSheetId="3">"Future"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<sst xmlns="http://schemas.openxmlformats.org/spreadsheetml/2006/main" count="114" uniqueCount="49">
  <si>
    <t>Combined Savings &amp; Loans</t>
  </si>
  <si>
    <t>Years to Calc</t>
  </si>
  <si>
    <t>Anniversary</t>
  </si>
  <si>
    <t>Birthday</t>
  </si>
  <si>
    <t>Christmas</t>
  </si>
  <si>
    <t>Fathers</t>
  </si>
  <si>
    <t>Mothers</t>
  </si>
  <si>
    <t>Clothes</t>
  </si>
  <si>
    <t>Food</t>
  </si>
  <si>
    <t>Medical</t>
  </si>
  <si>
    <t>Fuel</t>
  </si>
  <si>
    <t>Service</t>
  </si>
  <si>
    <t>Other</t>
  </si>
  <si>
    <t>Something</t>
  </si>
  <si>
    <t>Else</t>
  </si>
  <si>
    <t>In</t>
  </si>
  <si>
    <t>Here</t>
  </si>
  <si>
    <t>Y</t>
  </si>
  <si>
    <t>M</t>
  </si>
  <si>
    <t>D</t>
  </si>
  <si>
    <t>Combined Current Accounts</t>
  </si>
  <si>
    <t/>
  </si>
  <si>
    <t>Example food spent on this months credit card bill</t>
  </si>
  <si>
    <t>Example spent on previous credit card still outstanding</t>
  </si>
  <si>
    <t>INITIAL BALANCE</t>
  </si>
  <si>
    <t>Repeat Y</t>
  </si>
  <si>
    <t>End Y</t>
  </si>
  <si>
    <t>Start Y</t>
  </si>
  <si>
    <t>Value</t>
  </si>
  <si>
    <t>A heading for sorting</t>
  </si>
  <si>
    <t>Start</t>
  </si>
  <si>
    <t>Food Calculated from Spent Avg *</t>
  </si>
  <si>
    <t>2020-04-01</t>
  </si>
  <si>
    <t>Something Monthly April to March</t>
  </si>
  <si>
    <t>Something Weekly Not Post Retirement</t>
  </si>
  <si>
    <t>Oldest allowable date in app</t>
  </si>
  <si>
    <t>Post Retirement</t>
  </si>
  <si>
    <t>2011-04-01</t>
  </si>
  <si>
    <t>Spent</t>
  </si>
  <si>
    <t>One Off</t>
  </si>
  <si>
    <t>Expected</t>
  </si>
  <si>
    <t>Overspent</t>
  </si>
  <si>
    <t>Over</t>
  </si>
  <si>
    <t>Annual</t>
  </si>
  <si>
    <t>Low</t>
  </si>
  <si>
    <t>Weeks</t>
  </si>
  <si>
    <t>H / K</t>
  </si>
  <si>
    <t>Balance</t>
  </si>
  <si>
    <t>Date</t>
  </si>
</sst>
</file>

<file path=xl/styles.xml><?xml version="1.0" encoding="utf-8"?>
<styleSheet xmlns="http://schemas.openxmlformats.org/spreadsheetml/2006/main" xmlns:vt="http://schemas.openxmlformats.org/officeDocument/2006/docPropsVTypes">
  <numFmts count="5">
    <numFmt numFmtId="56" formatCode="&quot;上午/下午 &quot;hh&quot;時&quot;mm&quot;分&quot;ss&quot;秒 &quot;"/>
    <numFmt numFmtId="60" formatCode="&quot;&quot;£&quot;&quot;#,##0.00;[Red]-£#,##0.00"/>
    <numFmt numFmtId="164" formatCode="General"/>
    <numFmt numFmtId="165" formatCode="00"/>
    <numFmt numFmtId="166" formatCode="\£#,##0.00;[RED]&quot;-£&quot;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164" fontId="0" fillId="0" borderId="0" xfId="0" applyNumberFormat="1"/>
    <xf numFmtId="165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haredStrings" Target="sharedStrings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6"/>
  <sheetViews>
    <sheetView workbookViewId="0" rightToLeft="0"/>
  </sheetViews>
  <cols>
    <col min="1" max="1" customWidth="1" width="6.428571428571429"/>
    <col min="2" max="2" customWidth="1" width="3.5714285714285716"/>
    <col min="3" max="3" customWidth="1" width="3.5714285714285716"/>
    <col min="4" max="4" customWidth="1" width="14.285714285714286"/>
    <col min="5" max="5" customWidth="1" width="25"/>
    <col min="6" max="6" customWidth="1" width="14.285714285714286"/>
    <col min="7" max="7" customWidth="1" width="3.5714285714285716"/>
    <col min="8" max="8" customWidth="1" width="12.142857142857142"/>
    <col min="9" max="9" customWidth="1" width="12.142857142857142"/>
    <col min="10" max="10" customWidth="1" width="12.142857142857142"/>
    <col min="11" max="11" customWidth="1" width="3.5714285714285716"/>
    <col min="12" max="12" customWidth="1" width="12.142857142857142"/>
    <col min="13" max="13" customWidth="1" width="12.142857142857142"/>
    <col min="14" max="14" customWidth="1" width="3.5714285714285716"/>
    <col min="15" max="15" customWidth="1" width="12.142857142857142"/>
    <col min="16" max="16" customWidth="1" width="12.142857142857142"/>
    <col min="17" max="17" customWidth="1" width="12.142857142857142"/>
    <col min="18" max="18" customWidth="1" width="3.5714285714285716"/>
    <col min="19" max="19" customWidth="1" width="12.142857142857142"/>
    <col min="20" max="20" customWidth="1" width="12.142857142857142"/>
    <col min="21" max="21" customWidth="1" width="12.142857142857142"/>
    <col min="22" max="22" customWidth="1" width="3.5714285714285716"/>
    <col min="23" max="23" customWidth="1" width="12.142857142857142"/>
    <col min="24" max="24" customWidth="1" width="12.142857142857142"/>
    <col min="25" max="25" customWidth="1" width="14.285714285714286"/>
    <col min="26" max="26" customWidth="1" width="14.285714285714286"/>
  </cols>
  <sheetData>
    <row r="1" ht="15" customHeight="1">
      <c r="A1" s="1">
        <f>YEAR(TODAY())</f>
        <v>2025</v>
      </c>
      <c r="B1" s="2">
        <f>MONTH(TODAY())</f>
        <v>11</v>
      </c>
      <c r="C1" s="2">
        <f>DAY(TODAY())</f>
        <v>21</v>
      </c>
      <c r="D1" s="3">
        <v>10</v>
      </c>
      <c r="E1" s="1" t="s">
        <v>0</v>
      </c>
      <c r="F1" s="1" t="s">
        <v>1</v>
      </c>
      <c r="G1" s="1">
        <v>10</v>
      </c>
      <c r="H1" s="1" t="s">
        <v>2</v>
      </c>
      <c r="I1" s="1" t="s">
        <v>3</v>
      </c>
      <c r="J1" s="1" t="s">
        <v>4</v>
      </c>
      <c r="L1" s="1" t="s">
        <v>5</v>
      </c>
      <c r="M1" s="1" t="s">
        <v>6</v>
      </c>
      <c r="O1" s="1" t="s">
        <v>7</v>
      </c>
      <c r="P1" s="1" t="s">
        <v>8</v>
      </c>
      <c r="Q1" s="1" t="s">
        <v>9</v>
      </c>
      <c r="S1" s="1" t="s">
        <v>10</v>
      </c>
      <c r="T1" s="1" t="s">
        <v>11</v>
      </c>
      <c r="U1" s="1" t="s">
        <v>12</v>
      </c>
      <c r="W1" s="1" t="s">
        <v>13</v>
      </c>
      <c r="X1" s="1" t="s">
        <v>14</v>
      </c>
      <c r="Y1" s="1" t="s">
        <v>15</v>
      </c>
      <c r="Z1" s="1" t="s">
        <v>16</v>
      </c>
    </row>
    <row r="2" ht="15" customHeight="1">
      <c r="A2" s="1" t="s">
        <v>17</v>
      </c>
      <c r="B2" s="2" t="s">
        <v>18</v>
      </c>
      <c r="C2" s="2" t="s">
        <v>19</v>
      </c>
      <c r="D2" s="3">
        <f>SUM(D3:D6)-D1+E3</f>
        <v>40</v>
      </c>
      <c r="E2" s="1" t="s">
        <v>20</v>
      </c>
      <c r="F2" s="3" t="s">
        <f>""</f>
        <v>21</v>
      </c>
      <c r="H2" s="3">
        <f>SUM(H3:H5)/($A1-$A5+1)</f>
        <v>0</v>
      </c>
      <c r="I2" s="3">
        <f>SUM(I3:I5)/($A1-$A5+1)</f>
        <v>0</v>
      </c>
      <c r="J2" s="3">
        <f>SUM(J3:J5)/($A1-$A5)</f>
        <v>0</v>
      </c>
      <c r="L2" s="3">
        <f>SUM(L3:L5)/($A1-$A5+IF($B1&gt;=6,1,0))</f>
        <v>0</v>
      </c>
      <c r="M2" s="3">
        <f>SUM(M3:M5)/($A1-$A5+IF($B1&gt;3,1,0)-1)</f>
        <v>0</v>
      </c>
      <c r="O2" s="3">
        <f>30.416*SUM(O3:O5)/(365*($A1-$A5)+30.416*($B1-$B5)+$C1-$C5)</f>
        <v>0</v>
      </c>
      <c r="P2" s="3">
        <f>SUM(P3:P5)/(365*($A1-$A5)+30.416*($B1-$B5)+$C1-$C5)</f>
        <v>-0.00280745780578082</v>
      </c>
      <c r="Q2" s="3">
        <f>30.416*SUM(Q3:Q5)/(365*($A1-$A5)+30.416*($B1-$B5)+$C1-$C5)</f>
        <v>0</v>
      </c>
      <c r="S2" s="3">
        <f>7*SUM(S3:S5)/(365*($A1-$A5)+30.416*($B1-$B5)+$C1-$C5)</f>
        <v>0</v>
      </c>
      <c r="T2" s="3">
        <f>30.416*SUM(T3:T5)/(365*($A1-$A5)+30.416*($B1-$B5)+$C1-$C5)</f>
        <v>0</v>
      </c>
      <c r="U2" s="3">
        <f>30.416*SUM(U3:U5)/(365*($A1-$A5)+30.416*($B1-$B5)+$C1-$C5)</f>
        <v>0</v>
      </c>
      <c r="W2" s="3">
        <f>30.416*SUM(W3:W5)/(365*($A1-$A5)+30.416*($B1-$B5)+$C1-$C5)</f>
        <v>0</v>
      </c>
      <c r="X2" s="3">
        <f>30.416*SUM(X3:X5)/(365*($A1-$A5)+30.416*($B1-$B5)+$C1-$C5)</f>
        <v>0</v>
      </c>
      <c r="Y2" s="3">
        <f>30.416*SUM(Y3:Y5)/(365*($A1-$A5)+30.416*($B1-$B5)+$C1-$C5)</f>
        <v>-0.0569277577470862</v>
      </c>
      <c r="Z2" s="3">
        <f>30.416*SUM(Z3:Z5)/(365*($A1-$A5)+30.416*($B1-$B5)+$C1-$C5)</f>
        <v>0</v>
      </c>
    </row>
    <row r="3" ht="15" customHeight="1">
      <c r="C3" s="2">
        <v>0</v>
      </c>
      <c r="D3" s="3">
        <f>-SUM(D4)</f>
        <v>15</v>
      </c>
      <c r="E3" s="3">
        <f>-SUM(D5)</f>
        <v>10</v>
      </c>
      <c r="F3" s="3" t="s">
        <f>""</f>
        <v>21</v>
      </c>
      <c r="G3" s="3" t="s">
        <f>""</f>
        <v>21</v>
      </c>
      <c r="H3" s="3" t="s">
        <f>IF(ISERROR(FIND(LOWER(H$1),LOWER($E3))),"",$D3)</f>
        <v>21</v>
      </c>
      <c r="I3" s="3" t="s">
        <f>IF(ISERROR(FIND(LOWER(I$1),LOWER($E3))),"",$D3)</f>
        <v>21</v>
      </c>
      <c r="J3" s="3" t="s">
        <f>IF(ISERROR(FIND(LOWER(J$1),LOWER($E3))),"",$D3)</f>
        <v>21</v>
      </c>
      <c r="L3" s="3" t="s">
        <f>IF(ISERROR(FIND(LOWER(L$1),LOWER($E3))),"",$D3)</f>
        <v>21</v>
      </c>
      <c r="M3" s="3" t="s">
        <f>IF(ISERROR(FIND(LOWER(M$1),LOWER($E3))),"",$D3)</f>
        <v>21</v>
      </c>
      <c r="N3" s="3" t="s">
        <f>""</f>
        <v>21</v>
      </c>
      <c r="O3" s="3" t="s">
        <f>IF(ISERROR(FIND(LOWER(O$1),LOWER($E3))),"",$D3)</f>
        <v>21</v>
      </c>
      <c r="P3" s="3" t="s">
        <f>IF(ISERROR(FIND(LOWER(P$1),LOWER($E3))),"",$D3)</f>
        <v>21</v>
      </c>
      <c r="Q3" s="3" t="s">
        <f>IF(ISERROR(FIND(LOWER(Q$1),LOWER($E3))),"",$D3)</f>
        <v>21</v>
      </c>
      <c r="S3" s="3" t="s">
        <f>IF(ISERROR(FIND(LOWER(S$1),LOWER($E3))),"",$D3)</f>
        <v>21</v>
      </c>
      <c r="T3" s="3" t="s">
        <f>IF(ISERROR(FIND(LOWER(T$1),LOWER($E3))),"",$D3)</f>
        <v>21</v>
      </c>
      <c r="U3" s="3" t="s">
        <f>IF(ISERROR(FIND(LOWER(U$1),LOWER($E3))),"",$D3)</f>
        <v>21</v>
      </c>
      <c r="W3" s="3" t="s">
        <f>IF(ISERROR(FIND(LOWER(W$1),LOWER($E3))),"",$D3)</f>
        <v>21</v>
      </c>
      <c r="X3" s="3" t="s">
        <f>IF(ISERROR(FIND(LOWER(X$1),LOWER($E3))),"",$D3)</f>
        <v>21</v>
      </c>
      <c r="Y3" s="3" t="s">
        <f>IF(ISERROR(FIND(LOWER(Y$1),LOWER($E3))),"",$D3)</f>
        <v>21</v>
      </c>
      <c r="Z3" s="3" t="s">
        <f>IF(ISERROR(FIND(LOWER(Z$1),LOWER($E3))),"",$D3)</f>
        <v>21</v>
      </c>
    </row>
    <row r="4" ht="15" customHeight="1">
      <c r="A4" s="1">
        <v>2011</v>
      </c>
      <c r="B4" s="2">
        <v>4</v>
      </c>
      <c r="C4" s="2">
        <v>1</v>
      </c>
      <c r="D4" s="3">
        <v>-15</v>
      </c>
      <c r="E4" s="1" t="s">
        <v>22</v>
      </c>
      <c r="F4" s="3" t="s">
        <f>""</f>
        <v>21</v>
      </c>
      <c r="G4" s="3" t="s">
        <f>""</f>
        <v>21</v>
      </c>
      <c r="H4" s="3" t="s">
        <f>IF(ISERROR(FIND(LOWER(H$1),LOWER($E4))),"",$D4)</f>
        <v>21</v>
      </c>
      <c r="I4" s="3" t="s">
        <f>IF(ISERROR(FIND(LOWER(I$1),LOWER($E4))),"",$D4)</f>
        <v>21</v>
      </c>
      <c r="J4" s="3" t="s">
        <f>IF(ISERROR(FIND(LOWER(J$1),LOWER($E4))),"",$D4)</f>
        <v>21</v>
      </c>
      <c r="L4" s="3" t="s">
        <f>IF(ISERROR(FIND(LOWER(L$1),LOWER($E4))),"",$D4)</f>
        <v>21</v>
      </c>
      <c r="M4" s="3" t="s">
        <f>IF(ISERROR(FIND(LOWER(M$1),LOWER($E4))),"",$D4)</f>
        <v>21</v>
      </c>
      <c r="N4" s="3" t="s">
        <f>""</f>
        <v>21</v>
      </c>
      <c r="O4" s="3" t="s">
        <f>IF(ISERROR(FIND(LOWER(O$1),LOWER($E4))),"",$D4)</f>
        <v>21</v>
      </c>
      <c r="P4" s="3">
        <f>IF(ISERROR(FIND(LOWER(P$1),LOWER($E4))),"",$D4)</f>
        <v>-15</v>
      </c>
      <c r="Q4" s="3" t="s">
        <f>IF(ISERROR(FIND(LOWER(Q$1),LOWER($E4))),"",$D4)</f>
        <v>21</v>
      </c>
      <c r="S4" s="3" t="s">
        <f>IF(ISERROR(FIND(LOWER(S$1),LOWER($E4))),"",$D4)</f>
        <v>21</v>
      </c>
      <c r="T4" s="3" t="s">
        <f>IF(ISERROR(FIND(LOWER(T$1),LOWER($E4))),"",$D4)</f>
        <v>21</v>
      </c>
      <c r="U4" s="3" t="s">
        <f>IF(ISERROR(FIND(LOWER(U$1),LOWER($E4))),"",$D4)</f>
        <v>21</v>
      </c>
      <c r="W4" s="3" t="s">
        <f>IF(ISERROR(FIND(LOWER(W$1),LOWER($E4))),"",$D4)</f>
        <v>21</v>
      </c>
      <c r="X4" s="3" t="s">
        <f>IF(ISERROR(FIND(LOWER(X$1),LOWER($E4))),"",$D4)</f>
        <v>21</v>
      </c>
      <c r="Y4" s="3" t="s">
        <f>IF(ISERROR(FIND(LOWER(Y$1),LOWER($E4))),"",$D4)</f>
        <v>21</v>
      </c>
      <c r="Z4" s="3" t="s">
        <f>IF(ISERROR(FIND(LOWER(Z$1),LOWER($E4))),"",$D4)</f>
        <v>21</v>
      </c>
    </row>
    <row r="5" ht="15" customHeight="1">
      <c r="A5" s="1">
        <v>2011</v>
      </c>
      <c r="B5" s="2">
        <v>4</v>
      </c>
      <c r="C5" s="2">
        <v>1</v>
      </c>
      <c r="D5" s="3">
        <v>-10</v>
      </c>
      <c r="E5" s="1" t="s">
        <v>23</v>
      </c>
      <c r="F5" s="3" t="s">
        <f>""</f>
        <v>21</v>
      </c>
      <c r="G5" s="3" t="s">
        <f>""</f>
        <v>21</v>
      </c>
      <c r="H5" s="3" t="s">
        <f>IF(ISERROR(FIND(LOWER(H$1),LOWER($E5))),"",$D5)</f>
        <v>21</v>
      </c>
      <c r="I5" s="3" t="s">
        <f>IF(ISERROR(FIND(LOWER(I$1),LOWER($E5))),"",$D5)</f>
        <v>21</v>
      </c>
      <c r="J5" s="3" t="s">
        <f>IF(ISERROR(FIND(LOWER(J$1),LOWER($E5))),"",$D5)</f>
        <v>21</v>
      </c>
      <c r="L5" s="3" t="s">
        <f>IF(ISERROR(FIND(LOWER(L$1),LOWER($E5))),"",$D5)</f>
        <v>21</v>
      </c>
      <c r="M5" s="3" t="s">
        <f>IF(ISERROR(FIND(LOWER(M$1),LOWER($E5))),"",$D5)</f>
        <v>21</v>
      </c>
      <c r="N5" s="3" t="s">
        <f>""</f>
        <v>21</v>
      </c>
      <c r="O5" s="3" t="s">
        <f>IF(ISERROR(FIND(LOWER(O$1),LOWER($E5))),"",$D5)</f>
        <v>21</v>
      </c>
      <c r="P5" s="3" t="s">
        <f>IF(ISERROR(FIND(LOWER(P$1),LOWER($E5))),"",$D5)</f>
        <v>21</v>
      </c>
      <c r="Q5" s="3" t="s">
        <f>IF(ISERROR(FIND(LOWER(Q$1),LOWER($E5))),"",$D5)</f>
        <v>21</v>
      </c>
      <c r="S5" s="3" t="s">
        <f>IF(ISERROR(FIND(LOWER(S$1),LOWER($E5))),"",$D5)</f>
        <v>21</v>
      </c>
      <c r="T5" s="3" t="s">
        <f>IF(ISERROR(FIND(LOWER(T$1),LOWER($E5))),"",$D5)</f>
        <v>21</v>
      </c>
      <c r="U5" s="3" t="s">
        <f>IF(ISERROR(FIND(LOWER(U$1),LOWER($E5))),"",$D5)</f>
        <v>21</v>
      </c>
      <c r="W5" s="3" t="s">
        <f>IF(ISERROR(FIND(LOWER(W$1),LOWER($E5))),"",$D5)</f>
        <v>21</v>
      </c>
      <c r="X5" s="3" t="s">
        <f>IF(ISERROR(FIND(LOWER(X$1),LOWER($E5))),"",$D5)</f>
        <v>21</v>
      </c>
      <c r="Y5" s="3">
        <f>IF(ISERROR(FIND(LOWER(Y$1),LOWER($E5))),"",$D5)</f>
        <v>-10</v>
      </c>
      <c r="Z5" s="3" t="s">
        <f>IF(ISERROR(FIND(LOWER(Z$1),LOWER($E5))),"",$D5)</f>
        <v>21</v>
      </c>
    </row>
    <row r="6" ht="15" customHeight="1">
      <c r="D6" s="3">
        <v>50</v>
      </c>
      <c r="E6" s="1" t="s">
        <v>24</v>
      </c>
    </row>
  </sheetData>
  <pageMargins left="0.75" right="0.75" top="1" bottom="1" header="0.511811023622047" footer="0.511811023622047"/>
  <ignoredErrors>
    <ignoredError numberStoredAsText="1" sqref="A1:Z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O5"/>
  <sheetViews>
    <sheetView workbookViewId="0" rightToLeft="0"/>
  </sheetViews>
  <cols>
    <col min="1" max="1" customWidth="1" width="3.5714285714285716"/>
    <col min="2" max="2" customWidth="1" width="3.5714285714285716"/>
    <col min="3" max="3" customWidth="1" width="3.5714285714285716"/>
    <col min="4" max="4" customWidth="1" width="6.428571428571429"/>
    <col min="5" max="5" customWidth="1" width="3.5714285714285716"/>
    <col min="6" max="6" customWidth="1" width="3.5714285714285716"/>
    <col min="7" max="7" customWidth="1" width="6.428571428571429"/>
    <col min="8" max="8" customWidth="1" width="3.5714285714285716"/>
    <col min="9" max="9" customWidth="1" width="3.5714285714285716"/>
    <col min="10" max="10" customWidth="1" width="14.285714285714286"/>
    <col min="11" max="11" customWidth="1" width="25"/>
    <col min="12" max="12" customWidth="1" width="3.5714285714285716"/>
    <col min="13" max="13" customWidth="1" width="17.857142857142858"/>
    <col min="14" max="14" customWidth="1" width="17.857142857142858"/>
    <col min="15" max="15" customWidth="1" width="14.285714285714286"/>
  </cols>
  <sheetData>
    <row r="1" ht="15" customHeight="1">
      <c r="A1" s="1" t="s">
        <v>25</v>
      </c>
      <c r="B1" s="1" t="s">
        <v>18</v>
      </c>
      <c r="C1" s="1" t="s">
        <v>19</v>
      </c>
      <c r="D1" s="1" t="s">
        <v>26</v>
      </c>
      <c r="E1" s="1" t="s">
        <v>18</v>
      </c>
      <c r="F1" s="1" t="s">
        <v>19</v>
      </c>
      <c r="G1" s="1" t="s">
        <v>27</v>
      </c>
      <c r="H1" s="1" t="s">
        <v>18</v>
      </c>
      <c r="I1" s="1" t="s">
        <v>19</v>
      </c>
      <c r="J1" s="3" t="s">
        <v>28</v>
      </c>
      <c r="K1" s="1" t="s">
        <v>29</v>
      </c>
      <c r="L1" s="1">
        <v>-9</v>
      </c>
      <c r="M1" s="3">
        <f>SUM(M2:M4)</f>
        <v>-225.310436384824</v>
      </c>
      <c r="N1" s="3">
        <f>SUM(N2:N4)</f>
        <v>-121.02472209911</v>
      </c>
      <c r="O1" s="1" t="s">
        <v>30</v>
      </c>
    </row>
    <row r="2" ht="15" customHeight="1">
      <c r="C2" s="2">
        <v>7</v>
      </c>
      <c r="G2" s="2">
        <v>2020</v>
      </c>
      <c r="H2" s="2">
        <v>4</v>
      </c>
      <c r="I2" s="2">
        <v>1</v>
      </c>
      <c r="J2" s="3">
        <f>Spent!$P$2*C2</f>
        <v>-0.0196522046404657</v>
      </c>
      <c r="K2" s="1" t="s">
        <v>31</v>
      </c>
      <c r="L2" s="1">
        <v>1</v>
      </c>
      <c r="M2" s="3">
        <f>IF(($A2&gt;0),($J2/$A2),IF(($B2&gt;0),((12*$J2)/$B2),IF(($C2&gt;0),((365*$J2)/$C2),0)))</f>
        <v>-1.02472209911</v>
      </c>
      <c r="N2" s="3">
        <f>IF(($E2&gt;0),"",IF(($A2&gt;0),($J2/$A2),IF(($B2&gt;0),((12*$J2)/$B2),IF(($C2&gt;0),((365*$J2)/$C2),0))))</f>
        <v>-1.02472209911</v>
      </c>
      <c r="O2" s="1" t="s">
        <f>G2&amp;"-"&amp;IF(H2&lt;10,0,"")&amp;H2&amp;"-"&amp;IF(I2&lt;10,0,"")&amp;I2</f>
        <v>32</v>
      </c>
    </row>
    <row r="3" ht="15" customHeight="1">
      <c r="B3" s="2">
        <v>1</v>
      </c>
      <c r="D3" s="2">
        <v>2021</v>
      </c>
      <c r="E3" s="2">
        <v>4</v>
      </c>
      <c r="F3" s="2">
        <v>1</v>
      </c>
      <c r="G3" s="2">
        <v>2020</v>
      </c>
      <c r="H3" s="2">
        <v>4</v>
      </c>
      <c r="I3" s="2">
        <v>1</v>
      </c>
      <c r="J3" s="3">
        <v>-10</v>
      </c>
      <c r="K3" s="1" t="s">
        <v>33</v>
      </c>
      <c r="L3" s="1">
        <v>2</v>
      </c>
      <c r="M3" s="3">
        <f>IF(($A3&gt;0),($J3/$A3),IF(($B3&gt;0),((12*$J3)/$B3),((365*$J3)/$C3)))</f>
        <v>-120</v>
      </c>
      <c r="N3" s="3">
        <f>IF(($A3&gt;0),($J3/$A3),IF(($B3&gt;0),((12*$J3)/$B3),((365*$J3)/$C3)))</f>
        <v>-120</v>
      </c>
      <c r="O3" s="1" t="s">
        <f>G3&amp;"-"&amp;IF(H3&lt;10,0,"")&amp;H3&amp;"-"&amp;IF(I3&lt;10,0,"")&amp;I3</f>
        <v>32</v>
      </c>
    </row>
    <row r="4" ht="15" customHeight="1">
      <c r="C4" s="2">
        <v>7</v>
      </c>
      <c r="D4" s="2">
        <v>2024</v>
      </c>
      <c r="E4" s="2">
        <v>4</v>
      </c>
      <c r="F4" s="2">
        <v>1</v>
      </c>
      <c r="G4" s="2">
        <v>2020</v>
      </c>
      <c r="H4" s="2">
        <v>4</v>
      </c>
      <c r="I4" s="2">
        <v>1</v>
      </c>
      <c r="J4" s="3">
        <v>-2</v>
      </c>
      <c r="K4" s="1" t="s">
        <v>34</v>
      </c>
      <c r="L4" s="1">
        <v>3</v>
      </c>
      <c r="M4" s="3">
        <f>IF(($A4&gt;0),($J4/$A4),IF(($B4&gt;0),((12*$J4)/$B4),((365*$J4)/$C4)))</f>
        <v>-104.285714285714</v>
      </c>
      <c r="O4" s="1" t="s">
        <f>G4&amp;"-"&amp;IF(H4&lt;10,0,"")&amp;H4&amp;"-"&amp;IF(I4&lt;10,0,"")&amp;I4</f>
        <v>32</v>
      </c>
    </row>
    <row r="5" ht="15" customHeight="1">
      <c r="G5" s="2">
        <v>2011</v>
      </c>
      <c r="H5" s="2">
        <v>4</v>
      </c>
      <c r="I5" s="2">
        <v>1</v>
      </c>
      <c r="J5" s="3">
        <v>0</v>
      </c>
      <c r="K5" s="1" t="s">
        <v>35</v>
      </c>
      <c r="M5" s="3">
        <v>-1.02472209911</v>
      </c>
      <c r="N5" s="3" t="s">
        <v>36</v>
      </c>
      <c r="O5" s="1" t="s">
        <f>G5&amp;"-"&amp;IF(H5&lt;10,0,"")&amp;H5&amp;"-"&amp;IF(I5&lt;10,0,"")&amp;I5</f>
        <v>37</v>
      </c>
    </row>
  </sheetData>
  <pageMargins left="0.75" right="0.75" top="1" bottom="1" header="0.511811023622047" footer="0.511811023622047"/>
  <ignoredErrors>
    <ignoredError numberStoredAsText="1" sqref="A1:O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L1"/>
  <sheetViews>
    <sheetView workbookViewId="0" rightToLeft="0"/>
  </sheetViews>
  <cols>
    <col min="1" max="1" customWidth="1" width="6.428571428571429"/>
    <col min="2" max="2" customWidth="1" width="3.5714285714285716"/>
    <col min="3" max="3" customWidth="1" width="14.285714285714286"/>
    <col min="4" max="4" customWidth="1" width="14.285714285714286"/>
    <col min="5" max="5" customWidth="1" width="14.285714285714286"/>
    <col min="6" max="6" customWidth="1" width="14.285714285714286"/>
    <col min="7" max="7" customWidth="1" width="3.5714285714285716"/>
    <col min="8" max="8" customWidth="1" width="14.285714285714286"/>
    <col min="9" max="9" customWidth="1" width="14.285714285714286"/>
    <col min="10" max="10" customWidth="1" width="14.285714285714286"/>
    <col min="11" max="11" customWidth="1" width="8.571428571428571"/>
    <col min="12" max="12" customWidth="1" width="8.571428571428571"/>
  </cols>
  <sheetData>
    <row r="1">
      <c r="A1" s="1" t="s">
        <v>17</v>
      </c>
      <c r="B1" s="1" t="s">
        <v>18</v>
      </c>
      <c r="C1" s="1" t="s">
        <v>38</v>
      </c>
      <c r="D1" s="1" t="s">
        <v>39</v>
      </c>
      <c r="E1" s="1" t="s">
        <v>40</v>
      </c>
      <c r="F1" s="1" t="s">
        <v>41</v>
      </c>
      <c r="H1" s="1" t="s">
        <v>42</v>
      </c>
      <c r="I1" s="1" t="s">
        <v>43</v>
      </c>
      <c r="J1" s="1" t="s">
        <v>44</v>
      </c>
      <c r="K1" s="1" t="s">
        <v>45</v>
      </c>
      <c r="L1" s="1" t="s">
        <v>46</v>
      </c>
    </row>
  </sheetData>
  <mergeCells count="66">
    <mergeCell ref="G2:G13"/>
    <mergeCell ref="G14:G25"/>
    <mergeCell ref="G26:G37"/>
    <mergeCell ref="G38:G49"/>
    <mergeCell ref="G50:G61"/>
    <mergeCell ref="G62:G73"/>
    <mergeCell ref="G74:G85"/>
    <mergeCell ref="G86:G97"/>
    <mergeCell ref="G98:G109"/>
    <mergeCell ref="G110:G121"/>
    <mergeCell ref="G122:G133"/>
    <mergeCell ref="H2:H13"/>
    <mergeCell ref="H14:H25"/>
    <mergeCell ref="H26:H37"/>
    <mergeCell ref="H38:H49"/>
    <mergeCell ref="H50:H61"/>
    <mergeCell ref="H62:H73"/>
    <mergeCell ref="H74:H85"/>
    <mergeCell ref="H86:H97"/>
    <mergeCell ref="H98:H109"/>
    <mergeCell ref="H110:H121"/>
    <mergeCell ref="H122:H133"/>
    <mergeCell ref="I2:I13"/>
    <mergeCell ref="I14:I25"/>
    <mergeCell ref="I26:I37"/>
    <mergeCell ref="I38:I49"/>
    <mergeCell ref="I50:I61"/>
    <mergeCell ref="I62:I73"/>
    <mergeCell ref="I74:I85"/>
    <mergeCell ref="I86:I97"/>
    <mergeCell ref="I98:I109"/>
    <mergeCell ref="I110:I121"/>
    <mergeCell ref="I122:I133"/>
    <mergeCell ref="J2:J13"/>
    <mergeCell ref="J14:J25"/>
    <mergeCell ref="J26:J37"/>
    <mergeCell ref="J38:J49"/>
    <mergeCell ref="J50:J61"/>
    <mergeCell ref="J62:J73"/>
    <mergeCell ref="J74:J85"/>
    <mergeCell ref="J86:J97"/>
    <mergeCell ref="J98:J109"/>
    <mergeCell ref="J110:J121"/>
    <mergeCell ref="J122:J133"/>
    <mergeCell ref="K2:K13"/>
    <mergeCell ref="K14:K25"/>
    <mergeCell ref="K26:K37"/>
    <mergeCell ref="K38:K49"/>
    <mergeCell ref="K50:K61"/>
    <mergeCell ref="K62:K73"/>
    <mergeCell ref="K74:K85"/>
    <mergeCell ref="K86:K97"/>
    <mergeCell ref="K98:K109"/>
    <mergeCell ref="K110:K121"/>
    <mergeCell ref="K122:K133"/>
    <mergeCell ref="L2:L13"/>
    <mergeCell ref="L14:L25"/>
    <mergeCell ref="L26:L37"/>
    <mergeCell ref="L38:L49"/>
    <mergeCell ref="L50:L61"/>
    <mergeCell ref="L62:L73"/>
    <mergeCell ref="L74:L85"/>
    <mergeCell ref="L86:L97"/>
    <mergeCell ref="L98:L109"/>
    <mergeCell ref="L110:L121"/>
    <mergeCell ref="L122:L133"/>
  </mergeCells>
  <pageMargins left="0.75" right="0.75" top="1" bottom="1" header="0.511811023622047" footer="0.511811023622047"/>
  <ignoredErrors>
    <ignoredError numberStoredAsText="1" sqref="A1:L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1"/>
  <sheetViews>
    <sheetView workbookViewId="0" rightToLeft="0"/>
  </sheetViews>
  <cols>
    <col min="1" max="1" customWidth="1" width="6.428571428571429"/>
    <col min="2" max="2" customWidth="1" width="3.5714285714285716"/>
    <col min="3" max="3" customWidth="1" width="3.5714285714285716"/>
    <col min="4" max="4" customWidth="1" width="14.285714285714286"/>
    <col min="5" max="5" customWidth="1" width="25"/>
    <col min="6" max="6" customWidth="1" width="14.285714285714286"/>
    <col min="7" max="7" customWidth="1" width="14.285714285714286"/>
  </cols>
  <sheetData>
    <row r="1">
      <c r="A1" s="1" t="s">
        <v>17</v>
      </c>
      <c r="B1" s="1" t="s">
        <v>18</v>
      </c>
      <c r="C1" s="1" t="s">
        <v>19</v>
      </c>
      <c r="F1" s="1" t="s">
        <v>47</v>
      </c>
      <c r="G1" s="1" t="s">
        <v>48</v>
      </c>
    </row>
  </sheetData>
  <pageMargins left="0.75" right="0.75" top="1" bottom="1" header="0.511811023622047" footer="0.511811023622047"/>
  <ignoredErrors>
    <ignoredError numberStoredAsText="1" sqref="A1:G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Spent</vt:lpstr>
      <vt:lpstr>Plan</vt:lpstr>
      <vt:lpstr>Over</vt:lpstr>
      <vt:lpstr>Future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2021-03-07T08:35:00Z</dcterms:created>
  <dcterms:modified xsi:type="dcterms:W3CDTF">2025-11-21T12:57:26Z</dcterms:modified>
  <cp:lastModifiedBy>HuwSy/Money-XLS</cp:lastModifiedBy>
  <cp:revision>9</cp:revision>
  <dc:creator>HuwSy/Money-XLS</dc:creator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3081-11.3.1</vt:lpwstr>
  </property>
</Properties>
</file>